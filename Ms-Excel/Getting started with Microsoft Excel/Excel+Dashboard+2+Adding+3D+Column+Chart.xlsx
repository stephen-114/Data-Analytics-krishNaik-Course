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Data Analytics-KrishNaik Course\Ms-Excel\"/>
    </mc:Choice>
  </mc:AlternateContent>
  <xr:revisionPtr revIDLastSave="0" documentId="13_ncr:1_{9E28733B-F79F-47AF-A0D4-3BF31FC3A0A1}" xr6:coauthVersionLast="47" xr6:coauthVersionMax="47" xr10:uidLastSave="{00000000-0000-0000-0000-000000000000}"/>
  <bookViews>
    <workbookView xWindow="-96" yWindow="0" windowWidth="11712" windowHeight="12336" firstSheet="2" activeTab="4" xr2:uid="{00000000-000D-0000-FFFF-FFFF00000000}"/>
  </bookViews>
  <sheets>
    <sheet name="pivot1" sheetId="9" r:id="rId1"/>
    <sheet name="pivot2" sheetId="11" r:id="rId2"/>
    <sheet name="pivot3" sheetId="12" r:id="rId3"/>
    <sheet name="pivot4" sheetId="13" r:id="rId4"/>
    <sheet name="Dashboard" sheetId="16"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1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<sst xmlns="http://schemas.openxmlformats.org/spreadsheetml/2006/main" count="541" uniqueCount="57">
  <si>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</si>
  <si>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</si>
  <si>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</si>
  <si>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</si>
  <si>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</si>
  <si>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</si>
  <si>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</si>
  <si>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</si>
  <si>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</si>
  <si>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</si>
  <si>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</si>
  <si>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</si>
  <si>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</si>
  <si>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</si>
  <si>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</si>
  <si>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</si>
  <si>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</si>
  <si>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</si>
  <si>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</si>
  <si>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</si>
  <si>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</si>
  <si>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</si>
  <si>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</si>
  <si>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</si>
  <si>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</si>
  <si>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</si>
  <si>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</si>
  <si>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</si>
  <si>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</si>
  <si>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</si>
  <si>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</si>
  <si>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</si>
  <si>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</si>
  <si>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</si>
  <si>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</si>
  <si>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</si>
  <si>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2024</t>
  </si>
  <si>
    <t>2023</t>
  </si>
  <si>
    <t>Sum of UnitsProduced</t>
  </si>
  <si>
    <t>Qtr3</t>
  </si>
  <si>
    <t>Qtr4</t>
  </si>
  <si>
    <t>Sep</t>
  </si>
  <si>
    <t>Oct</t>
  </si>
  <si>
    <t>Nov</t>
  </si>
  <si>
    <t>Dec</t>
  </si>
  <si>
    <t>Qtr1</t>
  </si>
  <si>
    <t>Qtr2</t>
  </si>
  <si>
    <t>Jul</t>
  </si>
  <si>
    <t>Aug</t>
  </si>
  <si>
    <t>Jan</t>
  </si>
  <si>
    <t>Feb</t>
  </si>
  <si>
    <t>Mar</t>
  </si>
  <si>
    <t>Apr</t>
  </si>
  <si>
    <t>May</t>
  </si>
  <si>
    <t>Jun</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</si>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</sst>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0.000000"/>
  </numFmts>
  <fonts count="3" x14ac:knownFonts="1">
    <font>
      <sz val="11"/>
      <color theme="1"/>
      <name val="Calibri"/>
      <family val="2"/>
      <scheme val="minor"/>
    </font>
    <font>
      <b/>
      <i/>
      <u/>
      <sz val="48"/>
      <color theme="1"/>
      <name val="Calibri"/>
      <family val="2"/>
      <scheme val="minor"/>
    </font>
    <font>
      <i/>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169" fontId="0" fillId="0" borderId="0" xfId="0" applyNumberFormat="1"/>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1">
    <dxf>
      <numFmt numFmtId="169" formatCode="0.000000"/>
    </dxf>
  </dxfs>
  <tableStyles count="1" defaultTableStyle="TableStyleMedium2" defaultPivotStyle="PivotStyleLight16">
    <tableStyle name="Invisible" pivot="0" table="0" count="0" xr9:uid="{6B0637D6-0878-489C-874E-DE89E9DB7CED}"/>
  </tableStyles>
  <colors>
    <mruColors>
      <color rgb="FF33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[Excel+Dashboard+2+Adding+3D+Column+Chart.xlsx]pivot1!PivotTable1</c:name>
    <c:fmtId val="15"/>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Total Production Cost</a:t>
            </a:r>
            <a:r>
              <a:rPr lang="en-US" b="1" u="sng" baseline="0"/>
              <a:t> by Product Type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30000">
                <a:schemeClr val="accent5">
                  <a:lumMod val="0"/>
                  <a:lumOff val="100000"/>
                </a:schemeClr>
              </a:gs>
              <a:gs pos="35000">
                <a:schemeClr val="accent5">
                  <a:lumMod val="0"/>
                  <a:lumOff val="100000"/>
                </a:schemeClr>
              </a:gs>
              <a:gs pos="100000">
                <a:schemeClr val="accent5">
                  <a:lumMod val="100000"/>
                </a:schemeClr>
              </a:gs>
            </a:gsLst>
            <a:lin ang="2700000" scaled="1"/>
            <a:tileRect/>
          </a:gradFill>
          <a:ln>
            <a:solidFill>
              <a:schemeClr val="accent5">
                <a:lumMod val="60000"/>
                <a:lumOff val="40000"/>
              </a:schemeClr>
            </a:solidFill>
          </a:ln>
          <a:effectLst/>
          <a:sp3d>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gradFill flip="none" rotWithShape="1">
              <a:gsLst>
                <a:gs pos="30000">
                  <a:schemeClr val="accent5">
                    <a:lumMod val="0"/>
                    <a:lumOff val="100000"/>
                  </a:schemeClr>
                </a:gs>
                <a:gs pos="35000">
                  <a:schemeClr val="accent5">
                    <a:lumMod val="0"/>
                    <a:lumOff val="100000"/>
                  </a:schemeClr>
                </a:gs>
                <a:gs pos="100000">
                  <a:schemeClr val="accent5">
                    <a:lumMod val="100000"/>
                  </a:schemeClr>
                </a:gs>
              </a:gsLst>
              <a:lin ang="2700000" scaled="1"/>
              <a:tileRect/>
            </a:gradFill>
            <a:ln>
              <a:solidFill>
                <a:schemeClr val="accent5">
                  <a:lumMod val="60000"/>
                  <a:lumOff val="40000"/>
                </a:schemeClr>
              </a:solidFill>
            </a:ln>
            <a:effectLst/>
            <a:sp3d>
              <a:contourClr>
                <a:schemeClr val="accent5">
                  <a:lumMod val="60000"/>
                  <a:lumOff val="40000"/>
                </a:schemeClr>
              </a:contourClr>
            </a:sp3d>
          </c:spPr>
          <c:invertIfNegative val="0"/>
          <c:cat>
            <c:strRef>
              <c:f>pivot1!$A$4:$A$8</c:f>
              <c:strCache>
                <c:ptCount val="4"/>
                <c:pt idx="0">
                  <c:v>Automobiles</c:v>
                </c:pt>
                <c:pt idx="1">
                  <c:v>Electronics</c:v>
                </c:pt>
                <c:pt idx="2">
                  <c:v>Furniture</c:v>
                </c:pt>
                <c:pt idx="3">
                  <c:v>Machinery</c:v>
                </c:pt>
              </c:strCache>
            </c:strRef>
          </c:cat>
          <c:val>
            <c:numRef>
              <c:f>pivot1!$B$4:$B$8</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0-B815-4989-BCC0-8E08AEDABB0E}"/>
            </c:ext>
          </c:extLst>
        </c:ser>
        <c:dLbls>
          <c:showLegendKey val="0"/>
          <c:showVal val="0"/>
          <c:showCatName val="0"/>
          <c:showSerName val="0"/>
          <c:showPercent val="0"/>
          <c:showBubbleSize val="0"/>
        </c:dLbls>
        <c:gapWidth val="150"/>
        <c:shape val="box"/>
        <c:axId val="680915184"/>
        <c:axId val="680912664"/>
        <c:axId val="0"/>
      </c:bar3DChart>
      <c:catAx>
        <c:axId val="68091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0912664"/>
        <c:crosses val="autoZero"/>
        <c:auto val="1"/>
        <c:lblAlgn val="ctr"/>
        <c:lblOffset val="100"/>
        <c:noMultiLvlLbl val="0"/>
      </c:catAx>
      <c:valAx>
        <c:axId val="680912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091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[Excel+Dashboard+2+Adding+3D+Column+Chart.xlsx]pivot2!PivotTable3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sng"/>
              <a:t>Number</a:t>
            </a:r>
            <a:r>
              <a:rPr lang="en-US" sz="1400" b="1" u="sng" baseline="0"/>
              <a:t>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81150">
              <a:srgbClr val="7A9BD5"/>
            </a:gs>
            <a:gs pos="30000">
              <a:schemeClr val="accent5">
                <a:lumMod val="0"/>
                <a:lumOff val="100000"/>
              </a:schemeClr>
            </a:gs>
            <a:gs pos="41000">
              <a:schemeClr val="accent5">
                <a:lumMod val="2000"/>
                <a:lumOff val="98000"/>
              </a:schemeClr>
            </a:gs>
            <a:gs pos="100000">
              <a:schemeClr val="accent5">
                <a:lumMod val="100000"/>
              </a:schemeClr>
            </a:gs>
          </a:gsLst>
          <a:lin ang="2700000" scaled="1"/>
        </a:gradFill>
        <a:ln>
          <a:solidFill>
            <a:schemeClr val="accent2">
              <a:lumMod val="40000"/>
              <a:lumOff val="60000"/>
            </a:schemeClr>
          </a:solidFill>
        </a:ln>
        <a:effectLst/>
        <a:sp3d>
          <a:contourClr>
            <a:schemeClr val="accent2">
              <a:lumMod val="40000"/>
              <a:lumOff val="60000"/>
            </a:schemeClr>
          </a:contourClr>
        </a:sp3d>
      </c:spPr>
    </c:sideWall>
    <c:backWall>
      <c:thickness val="0"/>
      <c:spPr>
        <a:gradFill>
          <a:gsLst>
            <a:gs pos="81150">
              <a:srgbClr val="7A9BD5"/>
            </a:gs>
            <a:gs pos="30000">
              <a:schemeClr val="accent5">
                <a:lumMod val="0"/>
                <a:lumOff val="100000"/>
              </a:schemeClr>
            </a:gs>
            <a:gs pos="41000">
              <a:schemeClr val="accent5">
                <a:lumMod val="2000"/>
                <a:lumOff val="98000"/>
              </a:schemeClr>
            </a:gs>
            <a:gs pos="100000">
              <a:schemeClr val="accent5">
                <a:lumMod val="100000"/>
              </a:schemeClr>
            </a:gs>
          </a:gsLst>
          <a:lin ang="2700000" scaled="1"/>
        </a:gradFill>
        <a:ln>
          <a:solidFill>
            <a:schemeClr val="accent2">
              <a:lumMod val="40000"/>
              <a:lumOff val="60000"/>
            </a:schemeClr>
          </a:solidFill>
        </a:ln>
        <a:effectLst/>
        <a:sp3d>
          <a:contourClr>
            <a:schemeClr val="accent2">
              <a:lumMod val="40000"/>
              <a:lumOff val="60000"/>
            </a:schemeClr>
          </a:contourClr>
        </a:sp3d>
      </c:spPr>
    </c:backWall>
    <c:plotArea>
      <c:layout/>
      <c:bar3DChart>
        <c:barDir val="bar"/>
        <c:grouping val="clustered"/>
        <c:varyColors val="0"/>
        <c:ser>
          <c:idx val="0"/>
          <c:order val="0"/>
          <c:tx>
            <c:strRef>
              <c:f>pivot2!$B$3</c:f>
              <c:strCache>
                <c:ptCount val="1"/>
                <c:pt idx="0">
                  <c:v>Total</c:v>
                </c:pt>
              </c:strCache>
            </c:strRef>
          </c:tx>
          <c:spPr>
            <a:solidFill>
              <a:srgbClr val="33CCF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pivot2!$A$4:$A$13</c:f>
              <c:strCache>
                <c:ptCount val="9"/>
                <c:pt idx="0">
                  <c:v>Nancy Grey</c:v>
                </c:pt>
                <c:pt idx="1">
                  <c:v>Jane Smith</c:v>
                </c:pt>
                <c:pt idx="2">
                  <c:v>Mike Brown</c:v>
                </c:pt>
                <c:pt idx="3">
                  <c:v>Chris Green</c:v>
                </c:pt>
                <c:pt idx="4">
                  <c:v>John Doe</c:v>
                </c:pt>
                <c:pt idx="5">
                  <c:v>Andrew Blue</c:v>
                </c:pt>
                <c:pt idx="6">
                  <c:v>David White</c:v>
                </c:pt>
                <c:pt idx="7">
                  <c:v>Sarah Lee</c:v>
                </c:pt>
                <c:pt idx="8">
                  <c:v>Emily Davis</c:v>
                </c:pt>
              </c:strCache>
            </c:strRef>
          </c:cat>
          <c:val>
            <c:numRef>
              <c:f>pivot2!$B$4:$B$13</c:f>
              <c:numCache>
                <c:formatCode>General</c:formatCode>
                <c:ptCount val="9"/>
                <c:pt idx="0">
                  <c:v>11</c:v>
                </c:pt>
                <c:pt idx="1">
                  <c:v>6</c:v>
                </c:pt>
                <c:pt idx="2">
                  <c:v>5</c:v>
                </c:pt>
                <c:pt idx="3">
                  <c:v>5</c:v>
                </c:pt>
                <c:pt idx="4">
                  <c:v>5</c:v>
                </c:pt>
                <c:pt idx="5">
                  <c:v>4</c:v>
                </c:pt>
                <c:pt idx="6">
                  <c:v>2</c:v>
                </c:pt>
                <c:pt idx="7">
                  <c:v>1</c:v>
                </c:pt>
                <c:pt idx="8">
                  <c:v>1</c:v>
                </c:pt>
              </c:numCache>
            </c:numRef>
          </c:val>
          <c:extLst>
            <c:ext xmlns:c16="http://schemas.microsoft.com/office/drawing/2014/chart" uri="{C3380CC4-5D6E-409C-BE32-E72D297353CC}">
              <c16:uniqueId val="{00000000-F947-41DB-8C6C-FCCA1B448678}"/>
            </c:ext>
          </c:extLst>
        </c:ser>
        <c:dLbls>
          <c:showLegendKey val="0"/>
          <c:showVal val="1"/>
          <c:showCatName val="0"/>
          <c:showSerName val="0"/>
          <c:showPercent val="0"/>
          <c:showBubbleSize val="0"/>
        </c:dLbls>
        <c:gapWidth val="150"/>
        <c:shape val="box"/>
        <c:axId val="695728992"/>
        <c:axId val="695718912"/>
        <c:axId val="0"/>
      </c:bar3DChart>
      <c:catAx>
        <c:axId val="695728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95718912"/>
        <c:crosses val="autoZero"/>
        <c:auto val="1"/>
        <c:lblAlgn val="ctr"/>
        <c:lblOffset val="100"/>
        <c:noMultiLvlLbl val="0"/>
      </c:catAx>
      <c:valAx>
        <c:axId val="69571891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9572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[Excel+Dashboard+2+Adding+3D+Column+Chart.xlsx]pivot3!PivotTable4</c:name>
    <c:fmtId val="6"/>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Total units produced by year/month</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05389941891806"/>
          <c:y val="0.1768341283185062"/>
          <c:w val="0.82148396233725895"/>
          <c:h val="0.51074437342551937"/>
        </c:manualLayout>
      </c:layout>
      <c:line3DChart>
        <c:grouping val="standard"/>
        <c:varyColors val="0"/>
        <c:ser>
          <c:idx val="0"/>
          <c:order val="0"/>
          <c:tx>
            <c:strRef>
              <c:f>pivot3!$B$3</c:f>
              <c:strCache>
                <c:ptCount val="1"/>
                <c:pt idx="0">
                  <c:v>Total</c:v>
                </c:pt>
              </c:strCache>
            </c:strRef>
          </c:tx>
          <c:spPr>
            <a:solidFill>
              <a:schemeClr val="accent1"/>
            </a:solidFill>
            <a:ln>
              <a:noFill/>
            </a:ln>
            <a:effectLst/>
            <a:sp3d/>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pivot3!$A$4:$A$24</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Qtr3</c:v>
                  </c:pt>
                  <c:pt idx="1">
                    <c:v>Qtr4</c:v>
                  </c:pt>
                  <c:pt idx="4">
                    <c:v>Qtr1</c:v>
                  </c:pt>
                  <c:pt idx="7">
                    <c:v>Qtr2</c:v>
                  </c:pt>
                  <c:pt idx="10">
                    <c:v>Qtr3</c:v>
                  </c:pt>
                </c:lvl>
                <c:lvl>
                  <c:pt idx="0">
                    <c:v>2023</c:v>
                  </c:pt>
                  <c:pt idx="4">
                    <c:v>2024</c:v>
                  </c:pt>
                </c:lvl>
              </c:multiLvlStrCache>
            </c:multiLvlStrRef>
          </c:cat>
          <c:val>
            <c:numRef>
              <c:f>pivot3!$B$4:$B$24</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7A88-455D-8054-AA0EB1412232}"/>
            </c:ext>
          </c:extLst>
        </c:ser>
        <c:dLbls>
          <c:showLegendKey val="0"/>
          <c:showVal val="1"/>
          <c:showCatName val="0"/>
          <c:showSerName val="0"/>
          <c:showPercent val="0"/>
          <c:showBubbleSize val="0"/>
        </c:dLbls>
        <c:axId val="695734392"/>
        <c:axId val="695731152"/>
        <c:axId val="693762440"/>
      </c:line3DChart>
      <c:catAx>
        <c:axId val="695734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731152"/>
        <c:crosses val="autoZero"/>
        <c:auto val="1"/>
        <c:lblAlgn val="ctr"/>
        <c:lblOffset val="100"/>
        <c:noMultiLvlLbl val="0"/>
      </c:catAx>
      <c:valAx>
        <c:axId val="69573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734392"/>
        <c:crosses val="autoZero"/>
        <c:crossBetween val="between"/>
      </c:valAx>
      <c:serAx>
        <c:axId val="6937624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73115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[Excel+Dashboard+2+Adding+3D+Column+Chart.xlsx]pivot4!PivotTable4</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u="sng"/>
              <a:t>Average</a:t>
            </a:r>
            <a:r>
              <a:rPr lang="en-US" u="sng" baseline="0"/>
              <a:t> Production cost per unit by product type</a:t>
            </a:r>
            <a:endParaRPr lang="en-US" u="sng"/>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25400">
            <a:solidFill>
              <a:schemeClr val="lt1"/>
            </a:solidFill>
          </a:ln>
          <a:effectLst/>
          <a:sp3d contourW="25400">
            <a:contourClr>
              <a:schemeClr val="lt1"/>
            </a:contourClr>
          </a:sp3d>
        </c:spPr>
      </c:pivotFmt>
      <c:pivotFmt>
        <c:idx val="2"/>
        <c:spPr>
          <a:solidFill>
            <a:schemeClr val="accent6">
              <a:lumMod val="20000"/>
              <a:lumOff val="80000"/>
            </a:schemeClr>
          </a:solidFill>
          <a:ln w="25400">
            <a:solidFill>
              <a:schemeClr val="lt1"/>
            </a:solidFill>
          </a:ln>
          <a:effectLst/>
          <a:sp3d contourW="25400">
            <a:contourClr>
              <a:schemeClr val="lt1"/>
            </a:contourClr>
          </a:sp3d>
        </c:spPr>
      </c:pivotFmt>
      <c:pivotFmt>
        <c:idx val="3"/>
        <c:spPr>
          <a:solidFill>
            <a:srgbClr val="33CC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chemeClr val="accent6">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B58-4250-822C-3CD14766830F}"/>
              </c:ext>
            </c:extLst>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rgbClr val="33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4-1B58-4250-822C-3CD14766830F}"/>
              </c:ext>
            </c:extLst>
          </c:dPt>
          <c:dPt>
            <c:idx val="3"/>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1B58-4250-822C-3CD1476683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pivot4!$A$4:$A$8</c:f>
              <c:strCache>
                <c:ptCount val="4"/>
                <c:pt idx="0">
                  <c:v>Automobiles</c:v>
                </c:pt>
                <c:pt idx="1">
                  <c:v>Electronics</c:v>
                </c:pt>
                <c:pt idx="2">
                  <c:v>Furniture</c:v>
                </c:pt>
                <c:pt idx="3">
                  <c:v>Machinery</c:v>
                </c:pt>
              </c:strCache>
            </c:strRef>
          </c:cat>
          <c:val>
            <c:numRef>
              <c:f>pivot4!$B$4:$B$8</c:f>
              <c:numCache>
                <c:formatCode>0.000000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1B58-4250-822C-3CD14766830F}"/>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[Excel+Dashboard+2+Adding+3D+Column+Chart.xlsx]pivot1!PivotTable1</c:name>
    <c:fmtId val="18"/>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Total Production Cost</a:t>
            </a:r>
            <a:r>
              <a:rPr lang="en-US" b="1" u="sng" baseline="0"/>
              <a:t> by Product Type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30000">
                <a:schemeClr val="accent5">
                  <a:lumMod val="0"/>
                  <a:lumOff val="100000"/>
                </a:schemeClr>
              </a:gs>
              <a:gs pos="35000">
                <a:schemeClr val="accent5">
                  <a:lumMod val="0"/>
                  <a:lumOff val="100000"/>
                </a:schemeClr>
              </a:gs>
              <a:gs pos="100000">
                <a:schemeClr val="accent5">
                  <a:lumMod val="100000"/>
                </a:schemeClr>
              </a:gs>
            </a:gsLst>
            <a:lin ang="2700000" scaled="1"/>
            <a:tileRect/>
          </a:gradFill>
          <a:ln>
            <a:solidFill>
              <a:schemeClr val="accent5">
                <a:lumMod val="60000"/>
                <a:lumOff val="40000"/>
              </a:schemeClr>
            </a:solidFill>
          </a:ln>
          <a:effectLst/>
          <a:sp3d>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30000">
                <a:schemeClr val="accent5">
                  <a:lumMod val="0"/>
                  <a:lumOff val="100000"/>
                </a:schemeClr>
              </a:gs>
              <a:gs pos="35000">
                <a:schemeClr val="accent5">
                  <a:lumMod val="0"/>
                  <a:lumOff val="100000"/>
                </a:schemeClr>
              </a:gs>
              <a:gs pos="100000">
                <a:schemeClr val="accent5">
                  <a:lumMod val="100000"/>
                </a:schemeClr>
              </a:gs>
            </a:gsLst>
            <a:lin ang="2700000" scaled="1"/>
            <a:tileRect/>
          </a:gradFill>
          <a:ln>
            <a:solidFill>
              <a:schemeClr val="accent5">
                <a:lumMod val="60000"/>
                <a:lumOff val="40000"/>
              </a:schemeClr>
            </a:solidFill>
          </a:ln>
          <a:effectLst/>
          <a:sp3d>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0000">
                <a:schemeClr val="accent5">
                  <a:lumMod val="0"/>
                  <a:lumOff val="100000"/>
                </a:schemeClr>
              </a:gs>
              <a:gs pos="35000">
                <a:schemeClr val="accent5">
                  <a:lumMod val="0"/>
                  <a:lumOff val="100000"/>
                </a:schemeClr>
              </a:gs>
              <a:gs pos="100000">
                <a:schemeClr val="accent5">
                  <a:lumMod val="100000"/>
                </a:schemeClr>
              </a:gs>
            </a:gsLst>
            <a:lin ang="2700000" scaled="1"/>
            <a:tileRect/>
          </a:gradFill>
          <a:ln>
            <a:solidFill>
              <a:schemeClr val="accent5">
                <a:lumMod val="60000"/>
                <a:lumOff val="40000"/>
              </a:schemeClr>
            </a:solidFill>
          </a:ln>
          <a:effectLst/>
          <a:sp3d>
            <a:contourClr>
              <a:schemeClr val="accent5">
                <a:lumMod val="60000"/>
                <a:lumOff val="4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gradFill flip="none" rotWithShape="1">
              <a:gsLst>
                <a:gs pos="30000">
                  <a:schemeClr val="accent5">
                    <a:lumMod val="0"/>
                    <a:lumOff val="100000"/>
                  </a:schemeClr>
                </a:gs>
                <a:gs pos="35000">
                  <a:schemeClr val="accent5">
                    <a:lumMod val="0"/>
                    <a:lumOff val="100000"/>
                  </a:schemeClr>
                </a:gs>
                <a:gs pos="100000">
                  <a:schemeClr val="accent5">
                    <a:lumMod val="100000"/>
                  </a:schemeClr>
                </a:gs>
              </a:gsLst>
              <a:lin ang="2700000" scaled="1"/>
              <a:tileRect/>
            </a:gradFill>
            <a:ln>
              <a:solidFill>
                <a:schemeClr val="accent5">
                  <a:lumMod val="60000"/>
                  <a:lumOff val="40000"/>
                </a:schemeClr>
              </a:solidFill>
            </a:ln>
            <a:effectLst/>
            <a:sp3d>
              <a:contourClr>
                <a:schemeClr val="accent5">
                  <a:lumMod val="60000"/>
                  <a:lumOff val="40000"/>
                </a:schemeClr>
              </a:contourClr>
            </a:sp3d>
          </c:spPr>
          <c:invertIfNegative val="0"/>
          <c:cat>
            <c:strRef>
              <c:f>pivot1!$A$4:$A$8</c:f>
              <c:strCache>
                <c:ptCount val="4"/>
                <c:pt idx="0">
                  <c:v>Automobiles</c:v>
                </c:pt>
                <c:pt idx="1">
                  <c:v>Electronics</c:v>
                </c:pt>
                <c:pt idx="2">
                  <c:v>Furniture</c:v>
                </c:pt>
                <c:pt idx="3">
                  <c:v>Machinery</c:v>
                </c:pt>
              </c:strCache>
            </c:strRef>
          </c:cat>
          <c:val>
            <c:numRef>
              <c:f>pivot1!$B$4:$B$8</c:f>
              <c:numCache>
                <c:formatCode>General</c:formatCode>
                <c:ptCount val="4"/>
                <c:pt idx="0">
                  <c:v>1152805</c:v>
                </c:pt>
                <c:pt idx="1">
                  <c:v>604575</c:v>
                </c:pt>
                <c:pt idx="2">
                  <c:v>703282</c:v>
                </c:pt>
                <c:pt idx="3">
                  <c:v>910416</c:v>
                </c:pt>
              </c:numCache>
            </c:numRef>
          </c:val>
          <c:extLst>
            <c:ext xmlns:c16="http://schemas.microsoft.com/office/drawing/2014/chart" uri="{C3380CC4-5D6E-409C-BE32-E72D297353CC}">
              <c16:uniqueId val="{00000000-62F2-429E-A5AB-5D02E31A36C4}"/>
            </c:ext>
          </c:extLst>
        </c:ser>
        <c:dLbls>
          <c:showLegendKey val="0"/>
          <c:showVal val="0"/>
          <c:showCatName val="0"/>
          <c:showSerName val="0"/>
          <c:showPercent val="0"/>
          <c:showBubbleSize val="0"/>
        </c:dLbls>
        <c:gapWidth val="150"/>
        <c:shape val="box"/>
        <c:axId val="680915184"/>
        <c:axId val="680912664"/>
        <c:axId val="0"/>
      </c:bar3DChart>
      <c:catAx>
        <c:axId val="68091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0912664"/>
        <c:crosses val="autoZero"/>
        <c:auto val="1"/>
        <c:lblAlgn val="ctr"/>
        <c:lblOffset val="100"/>
        <c:noMultiLvlLbl val="0"/>
      </c:catAx>
      <c:valAx>
        <c:axId val="680912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091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[Excel+Dashboard+2+Adding+3D+Column+Chart.xlsx]pivot2!PivotTable3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u="sng"/>
              <a:t>Number</a:t>
            </a:r>
            <a:r>
              <a:rPr lang="en-US" sz="1400" b="1" u="sng" baseline="0"/>
              <a:t>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3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81150">
              <a:srgbClr val="7A9BD5"/>
            </a:gs>
            <a:gs pos="30000">
              <a:schemeClr val="accent5">
                <a:lumMod val="0"/>
                <a:lumOff val="100000"/>
              </a:schemeClr>
            </a:gs>
            <a:gs pos="41000">
              <a:schemeClr val="accent5">
                <a:lumMod val="2000"/>
                <a:lumOff val="98000"/>
              </a:schemeClr>
            </a:gs>
            <a:gs pos="100000">
              <a:schemeClr val="accent5">
                <a:lumMod val="100000"/>
              </a:schemeClr>
            </a:gs>
          </a:gsLst>
          <a:lin ang="2700000" scaled="1"/>
        </a:gradFill>
        <a:ln>
          <a:solidFill>
            <a:schemeClr val="accent2">
              <a:lumMod val="40000"/>
              <a:lumOff val="60000"/>
            </a:schemeClr>
          </a:solidFill>
        </a:ln>
        <a:effectLst/>
        <a:sp3d>
          <a:contourClr>
            <a:schemeClr val="accent2">
              <a:lumMod val="40000"/>
              <a:lumOff val="60000"/>
            </a:schemeClr>
          </a:contourClr>
        </a:sp3d>
      </c:spPr>
    </c:sideWall>
    <c:backWall>
      <c:thickness val="0"/>
      <c:spPr>
        <a:gradFill>
          <a:gsLst>
            <a:gs pos="81150">
              <a:srgbClr val="7A9BD5"/>
            </a:gs>
            <a:gs pos="30000">
              <a:schemeClr val="accent5">
                <a:lumMod val="0"/>
                <a:lumOff val="100000"/>
              </a:schemeClr>
            </a:gs>
            <a:gs pos="41000">
              <a:schemeClr val="accent5">
                <a:lumMod val="2000"/>
                <a:lumOff val="98000"/>
              </a:schemeClr>
            </a:gs>
            <a:gs pos="100000">
              <a:schemeClr val="accent5">
                <a:lumMod val="100000"/>
              </a:schemeClr>
            </a:gs>
          </a:gsLst>
          <a:lin ang="2700000" scaled="1"/>
        </a:gradFill>
        <a:ln>
          <a:solidFill>
            <a:schemeClr val="accent2">
              <a:lumMod val="40000"/>
              <a:lumOff val="60000"/>
            </a:schemeClr>
          </a:solidFill>
        </a:ln>
        <a:effectLst/>
        <a:sp3d>
          <a:contourClr>
            <a:schemeClr val="accent2">
              <a:lumMod val="40000"/>
              <a:lumOff val="60000"/>
            </a:schemeClr>
          </a:contourClr>
        </a:sp3d>
      </c:spPr>
    </c:backWall>
    <c:plotArea>
      <c:layout/>
      <c:bar3DChart>
        <c:barDir val="bar"/>
        <c:grouping val="clustered"/>
        <c:varyColors val="0"/>
        <c:ser>
          <c:idx val="0"/>
          <c:order val="0"/>
          <c:tx>
            <c:strRef>
              <c:f>pivot2!$B$3</c:f>
              <c:strCache>
                <c:ptCount val="1"/>
                <c:pt idx="0">
                  <c:v>Total</c:v>
                </c:pt>
              </c:strCache>
            </c:strRef>
          </c:tx>
          <c:spPr>
            <a:solidFill>
              <a:srgbClr val="33CCF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pivot2!$A$4:$A$13</c:f>
              <c:strCache>
                <c:ptCount val="9"/>
                <c:pt idx="0">
                  <c:v>Nancy Grey</c:v>
                </c:pt>
                <c:pt idx="1">
                  <c:v>Jane Smith</c:v>
                </c:pt>
                <c:pt idx="2">
                  <c:v>Mike Brown</c:v>
                </c:pt>
                <c:pt idx="3">
                  <c:v>Chris Green</c:v>
                </c:pt>
                <c:pt idx="4">
                  <c:v>John Doe</c:v>
                </c:pt>
                <c:pt idx="5">
                  <c:v>Andrew Blue</c:v>
                </c:pt>
                <c:pt idx="6">
                  <c:v>David White</c:v>
                </c:pt>
                <c:pt idx="7">
                  <c:v>Sarah Lee</c:v>
                </c:pt>
                <c:pt idx="8">
                  <c:v>Emily Davis</c:v>
                </c:pt>
              </c:strCache>
            </c:strRef>
          </c:cat>
          <c:val>
            <c:numRef>
              <c:f>pivot2!$B$4:$B$13</c:f>
              <c:numCache>
                <c:formatCode>General</c:formatCode>
                <c:ptCount val="9"/>
                <c:pt idx="0">
                  <c:v>11</c:v>
                </c:pt>
                <c:pt idx="1">
                  <c:v>6</c:v>
                </c:pt>
                <c:pt idx="2">
                  <c:v>5</c:v>
                </c:pt>
                <c:pt idx="3">
                  <c:v>5</c:v>
                </c:pt>
                <c:pt idx="4">
                  <c:v>5</c:v>
                </c:pt>
                <c:pt idx="5">
                  <c:v>4</c:v>
                </c:pt>
                <c:pt idx="6">
                  <c:v>2</c:v>
                </c:pt>
                <c:pt idx="7">
                  <c:v>1</c:v>
                </c:pt>
                <c:pt idx="8">
                  <c:v>1</c:v>
                </c:pt>
              </c:numCache>
            </c:numRef>
          </c:val>
          <c:extLst>
            <c:ext xmlns:c16="http://schemas.microsoft.com/office/drawing/2014/chart" uri="{C3380CC4-5D6E-409C-BE32-E72D297353CC}">
              <c16:uniqueId val="{00000000-3954-4686-8C77-D50110AD6EFB}"/>
            </c:ext>
          </c:extLst>
        </c:ser>
        <c:dLbls>
          <c:showLegendKey val="0"/>
          <c:showVal val="1"/>
          <c:showCatName val="0"/>
          <c:showSerName val="0"/>
          <c:showPercent val="0"/>
          <c:showBubbleSize val="0"/>
        </c:dLbls>
        <c:gapWidth val="150"/>
        <c:shape val="box"/>
        <c:axId val="695728992"/>
        <c:axId val="695718912"/>
        <c:axId val="0"/>
      </c:bar3DChart>
      <c:catAx>
        <c:axId val="695728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95718912"/>
        <c:crosses val="autoZero"/>
        <c:auto val="1"/>
        <c:lblAlgn val="ctr"/>
        <c:lblOffset val="100"/>
        <c:noMultiLvlLbl val="0"/>
      </c:catAx>
      <c:valAx>
        <c:axId val="69571891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9572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[Excel+Dashboard+2+Adding+3D+Column+Chart.xlsx]pivot3!PivotTable4</c:name>
    <c:fmtId val="12"/>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Total units produced by year/month</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05389941891806"/>
          <c:y val="0.1768341283185062"/>
          <c:w val="0.82148396233725895"/>
          <c:h val="0.51074437342551937"/>
        </c:manualLayout>
      </c:layout>
      <c:line3DChart>
        <c:grouping val="standard"/>
        <c:varyColors val="0"/>
        <c:ser>
          <c:idx val="0"/>
          <c:order val="0"/>
          <c:tx>
            <c:strRef>
              <c:f>pivot3!$B$3</c:f>
              <c:strCache>
                <c:ptCount val="1"/>
                <c:pt idx="0">
                  <c:v>Total</c:v>
                </c:pt>
              </c:strCache>
            </c:strRef>
          </c:tx>
          <c:spPr>
            <a:solidFill>
              <a:schemeClr val="accent1"/>
            </a:solidFill>
            <a:ln>
              <a:noFill/>
            </a:ln>
            <a:effectLst/>
            <a:sp3d/>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pivot3!$A$4:$A$24</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Qtr3</c:v>
                  </c:pt>
                  <c:pt idx="1">
                    <c:v>Qtr4</c:v>
                  </c:pt>
                  <c:pt idx="4">
                    <c:v>Qtr1</c:v>
                  </c:pt>
                  <c:pt idx="7">
                    <c:v>Qtr2</c:v>
                  </c:pt>
                  <c:pt idx="10">
                    <c:v>Qtr3</c:v>
                  </c:pt>
                </c:lvl>
                <c:lvl>
                  <c:pt idx="0">
                    <c:v>2023</c:v>
                  </c:pt>
                  <c:pt idx="4">
                    <c:v>2024</c:v>
                  </c:pt>
                </c:lvl>
              </c:multiLvlStrCache>
            </c:multiLvlStrRef>
          </c:cat>
          <c:val>
            <c:numRef>
              <c:f>pivot3!$B$4:$B$24</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15F6-4DAB-B312-CC2CB062753A}"/>
            </c:ext>
          </c:extLst>
        </c:ser>
        <c:dLbls>
          <c:showLegendKey val="0"/>
          <c:showVal val="1"/>
          <c:showCatName val="0"/>
          <c:showSerName val="0"/>
          <c:showPercent val="0"/>
          <c:showBubbleSize val="0"/>
        </c:dLbls>
        <c:axId val="695734392"/>
        <c:axId val="695731152"/>
        <c:axId val="693762440"/>
      </c:line3DChart>
      <c:catAx>
        <c:axId val="695734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731152"/>
        <c:crosses val="autoZero"/>
        <c:auto val="1"/>
        <c:lblAlgn val="ctr"/>
        <c:lblOffset val="100"/>
        <c:noMultiLvlLbl val="0"/>
      </c:catAx>
      <c:valAx>
        <c:axId val="69573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734392"/>
        <c:crosses val="autoZero"/>
        <c:crossBetween val="between"/>
      </c:valAx>
      <c:serAx>
        <c:axId val="6937624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73115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35000">
          <a:schemeClr val="accent6">
            <a:lumMod val="0"/>
            <a:lumOff val="100000"/>
          </a:schemeClr>
        </a:gs>
        <a:gs pos="79000">
          <a:schemeClr val="accent4">
            <a:lumMod val="40000"/>
            <a:lumOff val="6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[Excel+Dashboard+2+Adding+3D+Column+Chart.xlsx]pivot4!PivotTable4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u="sng"/>
              <a:t>Average</a:t>
            </a:r>
            <a:r>
              <a:rPr lang="en-US" u="sng" baseline="0"/>
              <a:t> Production cost per unit by product type</a:t>
            </a:r>
            <a:endParaRPr lang="en-US" u="sng"/>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lumMod val="60000"/>
              <a:lumOff val="40000"/>
            </a:schemeClr>
          </a:solidFill>
          <a:ln w="25400">
            <a:solidFill>
              <a:schemeClr val="lt1"/>
            </a:solidFill>
          </a:ln>
          <a:effectLst/>
          <a:sp3d contourW="25400">
            <a:contourClr>
              <a:schemeClr val="lt1"/>
            </a:contourClr>
          </a:sp3d>
        </c:spPr>
      </c:pivotFmt>
      <c:pivotFmt>
        <c:idx val="2"/>
        <c:spPr>
          <a:solidFill>
            <a:schemeClr val="accent6">
              <a:lumMod val="20000"/>
              <a:lumOff val="80000"/>
            </a:schemeClr>
          </a:solidFill>
          <a:ln w="25400">
            <a:solidFill>
              <a:schemeClr val="lt1"/>
            </a:solidFill>
          </a:ln>
          <a:effectLst/>
          <a:sp3d contourW="25400">
            <a:contourClr>
              <a:schemeClr val="lt1"/>
            </a:contourClr>
          </a:sp3d>
        </c:spPr>
      </c:pivotFmt>
      <c:pivotFmt>
        <c:idx val="3"/>
        <c:spPr>
          <a:solidFill>
            <a:srgbClr val="33CCFF"/>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20000"/>
              <a:lumOff val="80000"/>
            </a:schemeClr>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rgbClr val="33CCFF"/>
          </a:solidFill>
          <a:ln w="25400">
            <a:solidFill>
              <a:schemeClr val="lt1"/>
            </a:solidFill>
          </a:ln>
          <a:effectLst/>
          <a:sp3d contourW="25400">
            <a:contourClr>
              <a:schemeClr val="lt1"/>
            </a:contourClr>
          </a:sp3d>
        </c:spPr>
      </c:pivotFmt>
      <c:pivotFmt>
        <c:idx val="8"/>
        <c:spPr>
          <a:solidFill>
            <a:schemeClr val="accent4">
              <a:lumMod val="60000"/>
              <a:lumOff val="40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20000"/>
              <a:lumOff val="80000"/>
            </a:schemeClr>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rgbClr val="33CCFF"/>
          </a:solidFill>
          <a:ln w="25400">
            <a:solidFill>
              <a:schemeClr val="lt1"/>
            </a:solidFill>
          </a:ln>
          <a:effectLst/>
          <a:sp3d contourW="25400">
            <a:contourClr>
              <a:schemeClr val="lt1"/>
            </a:contourClr>
          </a:sp3d>
        </c:spPr>
      </c:pivotFmt>
      <c:pivotFmt>
        <c:idx val="13"/>
        <c:spPr>
          <a:solidFill>
            <a:schemeClr val="accent4">
              <a:lumMod val="60000"/>
              <a:lumOff val="4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chemeClr val="accent6">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31C-4FDF-B1F0-472A5F2F9C7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31C-4FDF-B1F0-472A5F2F9C7A}"/>
              </c:ext>
            </c:extLst>
          </c:dPt>
          <c:dPt>
            <c:idx val="2"/>
            <c:bubble3D val="0"/>
            <c:spPr>
              <a:solidFill>
                <a:srgbClr val="33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5-431C-4FDF-B1F0-472A5F2F9C7A}"/>
              </c:ext>
            </c:extLst>
          </c:dPt>
          <c:dPt>
            <c:idx val="3"/>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431C-4FDF-B1F0-472A5F2F9C7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pivot4!$A$4:$A$8</c:f>
              <c:strCache>
                <c:ptCount val="4"/>
                <c:pt idx="0">
                  <c:v>Automobiles</c:v>
                </c:pt>
                <c:pt idx="1">
                  <c:v>Electronics</c:v>
                </c:pt>
                <c:pt idx="2">
                  <c:v>Furniture</c:v>
                </c:pt>
                <c:pt idx="3">
                  <c:v>Machinery</c:v>
                </c:pt>
              </c:strCache>
            </c:strRef>
          </c:cat>
          <c:val>
            <c:numRef>
              <c:f>pivot4!$B$4:$B$8</c:f>
              <c:numCache>
                <c:formatCode>0.000000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431C-4FDF-B1F0-472A5F2F9C7A}"/>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9896</xdr:colOff>
      <xdr:row>9</xdr:row>
      <xdr:rowOff>134140</xdr:rowOff>
    </xdr:from>
    <xdr:to>
      <xdr:col>6</xdr:col>
      <xdr:colOff>223256</xdr:colOff>
      <xdr:row>26</xdr:row>
      <xdr:rowOff>59375</xdr:rowOff>
    </xdr:to>
    <xdr:graphicFrame macro="">
      <xdr:nvGraphicFramePr>
        <xdr:cNvPr id="2" name="Chart 1">
          <a:extLst>
            <a:ext uri="{FF2B5EF4-FFF2-40B4-BE49-F238E27FC236}">
              <a16:creationId xmlns:a16="http://schemas.microsoft.com/office/drawing/2014/main" id="{654D76D4-B8C7-7A91-F6CF-5E8FB2031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224620</xdr:colOff>
      <xdr:row>15</xdr:row>
      <xdr:rowOff>178977</xdr:rowOff>
    </xdr:from>
    <xdr:to>
      <xdr:col>6</xdr:col>
      <xdr:colOff>554134</xdr:colOff>
      <xdr:row>30</xdr:row>
      <xdr:rowOff>108035</xdr:rowOff>
    </xdr:to>
    <xdr:graphicFrame macro="">
      <xdr:nvGraphicFramePr>
        <xdr:cNvPr id="2" name="Chart 1">
          <a:extLst>
            <a:ext uri="{FF2B5EF4-FFF2-40B4-BE49-F238E27FC236}">
              <a16:creationId xmlns:a16="http://schemas.microsoft.com/office/drawing/2014/main" id="{78862711-300D-F701-407F-4C1247CCA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65808</xdr:rowOff>
    </xdr:from>
    <xdr:to>
      <xdr:col>5</xdr:col>
      <xdr:colOff>503632</xdr:colOff>
      <xdr:row>24</xdr:row>
      <xdr:rowOff>142009</xdr:rowOff>
    </xdr:to>
    <xdr:graphicFrame macro="">
      <xdr:nvGraphicFramePr>
        <xdr:cNvPr id="2" name="Chart 1">
          <a:extLst>
            <a:ext uri="{FF2B5EF4-FFF2-40B4-BE49-F238E27FC236}">
              <a16:creationId xmlns:a16="http://schemas.microsoft.com/office/drawing/2014/main" id="{76EF8335-B3EB-2ABE-3B97-6DFFC03A5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86039</xdr:colOff>
      <xdr:row>8</xdr:row>
      <xdr:rowOff>169483</xdr:rowOff>
    </xdr:from>
    <xdr:to>
      <xdr:col>4</xdr:col>
      <xdr:colOff>398459</xdr:colOff>
      <xdr:row>23</xdr:row>
      <xdr:rowOff>169484</xdr:rowOff>
    </xdr:to>
    <xdr:graphicFrame macro="">
      <xdr:nvGraphicFramePr>
        <xdr:cNvPr id="3" name="Chart 2">
          <a:extLst>
            <a:ext uri="{FF2B5EF4-FFF2-40B4-BE49-F238E27FC236}">
              <a16:creationId xmlns:a16="http://schemas.microsoft.com/office/drawing/2014/main" id="{B146C400-C473-8A3C-9D9A-CC13C9F30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349250</xdr:colOff>
      <xdr:row>21</xdr:row>
      <xdr:rowOff>79375</xdr:rowOff>
    </xdr:from>
    <xdr:to>
      <xdr:col>8</xdr:col>
      <xdr:colOff>125615</xdr:colOff>
      <xdr:row>37</xdr:row>
      <xdr:rowOff>106738</xdr:rowOff>
    </xdr:to>
    <xdr:graphicFrame macro="">
      <xdr:nvGraphicFramePr>
        <xdr:cNvPr id="2" name="Chart 1">
          <a:extLst>
            <a:ext uri="{FF2B5EF4-FFF2-40B4-BE49-F238E27FC236}">
              <a16:creationId xmlns:a16="http://schemas.microsoft.com/office/drawing/2014/main" id="{13D7A07F-B854-48DF-B442-F62EC2965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95251</xdr:colOff>
      <xdr:row>19</xdr:row>
      <xdr:rowOff>142875</xdr:rowOff>
    </xdr:from>
    <xdr:to>
      <xdr:col>16</xdr:col>
      <xdr:colOff>552451</xdr:colOff>
      <xdr:row>35</xdr:row>
      <xdr:rowOff>178044</xdr:rowOff>
    </xdr:to>
    <xdr:graphicFrame macro="">
      <xdr:nvGraphicFramePr>
        <xdr:cNvPr id="3" name="Chart 2">
          <a:extLst>
            <a:ext uri="{FF2B5EF4-FFF2-40B4-BE49-F238E27FC236}">
              <a16:creationId xmlns:a16="http://schemas.microsoft.com/office/drawing/2014/main" id="{8257A971-4E23-48B8-B6C9-EC666784C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395409</xdr:colOff>
      <xdr:row>39</xdr:row>
      <xdr:rowOff>116498</xdr:rowOff>
    </xdr:from>
    <xdr:to>
      <xdr:col>8</xdr:col>
      <xdr:colOff>73512</xdr:colOff>
      <xdr:row>53</xdr:row>
      <xdr:rowOff>152856</xdr:rowOff>
    </xdr:to>
    <xdr:graphicFrame macro="">
      <xdr:nvGraphicFramePr>
        <xdr:cNvPr id="4" name="Chart 3">
          <a:extLst>
            <a:ext uri="{FF2B5EF4-FFF2-40B4-BE49-F238E27FC236}">
              <a16:creationId xmlns:a16="http://schemas.microsoft.com/office/drawing/2014/main" id="{F3F02A71-D931-43E5-BC17-AEFADC3FA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7571</xdr:colOff>
      <xdr:row>38</xdr:row>
      <xdr:rowOff>174625</xdr:rowOff>
    </xdr:from>
    <xdr:to>
      <xdr:col>16</xdr:col>
      <xdr:colOff>417879</xdr:colOff>
      <xdr:row>53</xdr:row>
      <xdr:rowOff>142388</xdr:rowOff>
    </xdr:to>
    <xdr:graphicFrame macro="">
      <xdr:nvGraphicFramePr>
        <xdr:cNvPr id="5" name="Chart 4">
          <a:extLst>
            <a:ext uri="{FF2B5EF4-FFF2-40B4-BE49-F238E27FC236}">
              <a16:creationId xmlns:a16="http://schemas.microsoft.com/office/drawing/2014/main" id="{04AA8F21-4AD6-4E86-AA55-0B2781FBD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548640</xdr:colOff>
      <xdr:row>7</xdr:row>
      <xdr:rowOff>88851</xdr:rowOff>
    </xdr:from>
    <xdr:to>
      <xdr:col>6</xdr:col>
      <xdr:colOff>548640</xdr:colOff>
      <xdr:row>17</xdr:row>
      <xdr:rowOff>158750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AD64FDD5-55C9-6A60-E7AD-5CC1EC72698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58390" y="1422351"/>
              <a:ext cx="1809750" cy="197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577850</xdr:colOff>
      <xdr:row>7</xdr:row>
      <xdr:rowOff>69703</xdr:rowOff>
    </xdr:from>
    <xdr:to>
      <xdr:col>9</xdr:col>
      <xdr:colOff>577850</xdr:colOff>
      <xdr:row>16</xdr:row>
      <xdr:rowOff>127000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5461A6F9-B246-8E10-1128-8EFDA373AB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197350" y="1403203"/>
              <a:ext cx="1809750" cy="1771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565785</xdr:colOff>
      <xdr:row>7</xdr:row>
      <xdr:rowOff>98182</xdr:rowOff>
    </xdr:from>
    <xdr:to>
      <xdr:col>12</xdr:col>
      <xdr:colOff>565785</xdr:colOff>
      <xdr:row>16</xdr:row>
      <xdr:rowOff>79376</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A1A9AED2-D63E-E444-AD2B-EF36F5BDEE99}"/>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5995035" y="1431682"/>
              <a:ext cx="1809750" cy="1695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144633</xdr:colOff>
      <xdr:row>7</xdr:row>
      <xdr:rowOff>150594</xdr:rowOff>
    </xdr:from>
    <xdr:to>
      <xdr:col>16</xdr:col>
      <xdr:colOff>492125</xdr:colOff>
      <xdr:row>18</xdr:row>
      <xdr:rowOff>0</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0F816979-89D2-B0B0-CA67-154E177D13ED}"/>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7986883" y="1484094"/>
              <a:ext cx="2157242" cy="1944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DUKURI STEPHEN PAUL" refreshedDate="46255.682380092592" createdVersion="8" refreshedVersion="8" minRefreshableVersion="3" recordCount="120" xr:uid="{E9C62680-AF61-41C4-9562-BBC8866C2BA3}">
  <cacheSource type="worksheet">
    <worksheetSource ref="A1:K121" sheet="Production Dataset"/>
  </cacheSource>
  <cacheFields count="14">
    <cacheField name="ProductionID" numFmtId="0">
      <sharedItems containsSemiMixedTypes="0" containsString="0" containsNumber="1" containsInteger="1" minValue="1" maxValue="120" count="12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sharedItems>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533210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n v="412"/>
    <n v="22288"/>
    <x v="0"/>
    <n v="25"/>
    <x v="0"/>
    <n v="54.097087378640779"/>
  </r>
  <r>
    <x v="1"/>
    <x v="1"/>
    <x v="1"/>
    <x v="1"/>
    <x v="1"/>
    <n v="430"/>
    <n v="66500"/>
    <x v="0"/>
    <n v="52"/>
    <x v="1"/>
    <n v="154.65116279069767"/>
  </r>
  <r>
    <x v="2"/>
    <x v="2"/>
    <x v="2"/>
    <x v="2"/>
    <x v="2"/>
    <n v="478"/>
    <n v="76076"/>
    <x v="1"/>
    <n v="36"/>
    <x v="2"/>
    <n v="159.15481171548117"/>
  </r>
  <r>
    <x v="3"/>
    <x v="3"/>
    <x v="1"/>
    <x v="3"/>
    <x v="2"/>
    <n v="459"/>
    <n v="17069"/>
    <x v="2"/>
    <n v="57"/>
    <x v="1"/>
    <n v="37.187363834422655"/>
  </r>
  <r>
    <x v="4"/>
    <x v="4"/>
    <x v="0"/>
    <x v="4"/>
    <x v="2"/>
    <n v="178"/>
    <n v="41349"/>
    <x v="1"/>
    <n v="26"/>
    <x v="0"/>
    <n v="232.29775280898878"/>
  </r>
  <r>
    <x v="5"/>
    <x v="5"/>
    <x v="1"/>
    <x v="4"/>
    <x v="2"/>
    <n v="401"/>
    <n v="19691"/>
    <x v="1"/>
    <n v="26"/>
    <x v="0"/>
    <n v="49.104738154613464"/>
  </r>
  <r>
    <x v="6"/>
    <x v="6"/>
    <x v="1"/>
    <x v="5"/>
    <x v="2"/>
    <n v="68"/>
    <n v="11696"/>
    <x v="1"/>
    <n v="28"/>
    <x v="0"/>
    <n v="172"/>
  </r>
  <r>
    <x v="7"/>
    <x v="7"/>
    <x v="1"/>
    <x v="6"/>
    <x v="3"/>
    <n v="447"/>
    <n v="52269"/>
    <x v="1"/>
    <n v="28"/>
    <x v="0"/>
    <n v="116.93288590604027"/>
  </r>
  <r>
    <x v="8"/>
    <x v="8"/>
    <x v="1"/>
    <x v="7"/>
    <x v="3"/>
    <n v="55"/>
    <n v="25893"/>
    <x v="1"/>
    <n v="42"/>
    <x v="2"/>
    <n v="470.78181818181821"/>
  </r>
  <r>
    <x v="9"/>
    <x v="9"/>
    <x v="1"/>
    <x v="7"/>
    <x v="0"/>
    <n v="396"/>
    <n v="38480"/>
    <x v="0"/>
    <n v="42"/>
    <x v="2"/>
    <n v="97.171717171717177"/>
  </r>
  <r>
    <x v="10"/>
    <x v="10"/>
    <x v="1"/>
    <x v="8"/>
    <x v="2"/>
    <n v="494"/>
    <n v="46767"/>
    <x v="0"/>
    <n v="25"/>
    <x v="0"/>
    <n v="94.670040485829958"/>
  </r>
  <r>
    <x v="11"/>
    <x v="11"/>
    <x v="1"/>
    <x v="8"/>
    <x v="0"/>
    <n v="462"/>
    <n v="26145"/>
    <x v="2"/>
    <n v="25"/>
    <x v="0"/>
    <n v="56.590909090909093"/>
  </r>
  <r>
    <x v="12"/>
    <x v="6"/>
    <x v="2"/>
    <x v="0"/>
    <x v="3"/>
    <n v="435"/>
    <n v="64090"/>
    <x v="0"/>
    <n v="25"/>
    <x v="0"/>
    <n v="147.33333333333334"/>
  </r>
  <r>
    <x v="13"/>
    <x v="12"/>
    <x v="0"/>
    <x v="4"/>
    <x v="0"/>
    <n v="332"/>
    <n v="679"/>
    <x v="0"/>
    <n v="26"/>
    <x v="0"/>
    <n v="2.0451807228915664"/>
  </r>
  <r>
    <x v="14"/>
    <x v="13"/>
    <x v="2"/>
    <x v="7"/>
    <x v="0"/>
    <n v="383"/>
    <n v="39008"/>
    <x v="2"/>
    <n v="42"/>
    <x v="2"/>
    <n v="101.8485639686684"/>
  </r>
  <r>
    <x v="15"/>
    <x v="14"/>
    <x v="2"/>
    <x v="4"/>
    <x v="1"/>
    <n v="193"/>
    <n v="18796"/>
    <x v="1"/>
    <n v="26"/>
    <x v="0"/>
    <n v="97.388601036269435"/>
  </r>
  <r>
    <x v="16"/>
    <x v="15"/>
    <x v="1"/>
    <x v="7"/>
    <x v="2"/>
    <n v="240"/>
    <n v="65052"/>
    <x v="0"/>
    <n v="42"/>
    <x v="2"/>
    <n v="271.05"/>
  </r>
  <r>
    <x v="17"/>
    <x v="16"/>
    <x v="1"/>
    <x v="9"/>
    <x v="0"/>
    <n v="363"/>
    <n v="38232"/>
    <x v="0"/>
    <n v="49"/>
    <x v="1"/>
    <n v="105.32231404958678"/>
  </r>
  <r>
    <x v="18"/>
    <x v="17"/>
    <x v="1"/>
    <x v="9"/>
    <x v="0"/>
    <n v="443"/>
    <n v="50652"/>
    <x v="1"/>
    <n v="49"/>
    <x v="1"/>
    <n v="114.33860045146727"/>
  </r>
  <r>
    <x v="19"/>
    <x v="18"/>
    <x v="1"/>
    <x v="7"/>
    <x v="3"/>
    <n v="331"/>
    <n v="27140"/>
    <x v="1"/>
    <n v="42"/>
    <x v="2"/>
    <n v="81.993957703927492"/>
  </r>
  <r>
    <x v="20"/>
    <x v="19"/>
    <x v="0"/>
    <x v="7"/>
    <x v="2"/>
    <n v="250"/>
    <n v="11385"/>
    <x v="1"/>
    <n v="42"/>
    <x v="2"/>
    <n v="45.54"/>
  </r>
  <r>
    <x v="21"/>
    <x v="20"/>
    <x v="1"/>
    <x v="9"/>
    <x v="2"/>
    <n v="180"/>
    <n v="33684"/>
    <x v="0"/>
    <n v="49"/>
    <x v="1"/>
    <n v="187.13333333333333"/>
  </r>
  <r>
    <x v="22"/>
    <x v="21"/>
    <x v="2"/>
    <x v="5"/>
    <x v="0"/>
    <n v="90"/>
    <n v="42328"/>
    <x v="0"/>
    <n v="28"/>
    <x v="0"/>
    <n v="470.31111111111113"/>
  </r>
  <r>
    <x v="23"/>
    <x v="22"/>
    <x v="0"/>
    <x v="3"/>
    <x v="2"/>
    <n v="458"/>
    <n v="42873"/>
    <x v="0"/>
    <n v="57"/>
    <x v="1"/>
    <n v="93.609170305676855"/>
  </r>
  <r>
    <x v="24"/>
    <x v="23"/>
    <x v="1"/>
    <x v="4"/>
    <x v="0"/>
    <n v="439"/>
    <n v="31392"/>
    <x v="1"/>
    <n v="26"/>
    <x v="0"/>
    <n v="71.50797266514806"/>
  </r>
  <r>
    <x v="25"/>
    <x v="24"/>
    <x v="1"/>
    <x v="7"/>
    <x v="0"/>
    <n v="406"/>
    <n v="47880"/>
    <x v="1"/>
    <n v="42"/>
    <x v="2"/>
    <n v="117.93103448275862"/>
  </r>
  <r>
    <x v="26"/>
    <x v="25"/>
    <x v="1"/>
    <x v="7"/>
    <x v="3"/>
    <n v="422"/>
    <n v="13490"/>
    <x v="0"/>
    <n v="42"/>
    <x v="2"/>
    <n v="31.966824644549764"/>
  </r>
  <r>
    <x v="27"/>
    <x v="26"/>
    <x v="1"/>
    <x v="3"/>
    <x v="0"/>
    <n v="444"/>
    <n v="7272"/>
    <x v="1"/>
    <n v="57"/>
    <x v="1"/>
    <n v="16.378378378378379"/>
  </r>
  <r>
    <x v="28"/>
    <x v="27"/>
    <x v="1"/>
    <x v="7"/>
    <x v="3"/>
    <n v="499"/>
    <n v="48316"/>
    <x v="0"/>
    <n v="42"/>
    <x v="2"/>
    <n v="96.825651302605209"/>
  </r>
  <r>
    <x v="29"/>
    <x v="28"/>
    <x v="1"/>
    <x v="8"/>
    <x v="0"/>
    <n v="290"/>
    <n v="15132"/>
    <x v="2"/>
    <n v="25"/>
    <x v="0"/>
    <n v="52.179310344827584"/>
  </r>
  <r>
    <x v="30"/>
    <x v="29"/>
    <x v="2"/>
    <x v="7"/>
    <x v="3"/>
    <n v="369"/>
    <n v="5246"/>
    <x v="1"/>
    <n v="42"/>
    <x v="2"/>
    <n v="14.21680216802168"/>
  </r>
  <r>
    <x v="31"/>
    <x v="30"/>
    <x v="3"/>
    <x v="7"/>
    <x v="0"/>
    <n v="389"/>
    <n v="37744"/>
    <x v="1"/>
    <n v="42"/>
    <x v="2"/>
    <n v="97.028277634961441"/>
  </r>
  <r>
    <x v="32"/>
    <x v="31"/>
    <x v="3"/>
    <x v="8"/>
    <x v="3"/>
    <n v="511"/>
    <n v="679"/>
    <x v="0"/>
    <n v="25"/>
    <x v="0"/>
    <n v="1.3287671232876712"/>
  </r>
  <r>
    <x v="33"/>
    <x v="32"/>
    <x v="1"/>
    <x v="6"/>
    <x v="2"/>
    <n v="333"/>
    <n v="48000"/>
    <x v="0"/>
    <n v="28"/>
    <x v="0"/>
    <n v="144.14414414414415"/>
  </r>
  <r>
    <x v="34"/>
    <x v="3"/>
    <x v="1"/>
    <x v="1"/>
    <x v="2"/>
    <n v="260"/>
    <n v="34680"/>
    <x v="1"/>
    <n v="52"/>
    <x v="1"/>
    <n v="133.38461538461539"/>
  </r>
  <r>
    <x v="35"/>
    <x v="33"/>
    <x v="1"/>
    <x v="4"/>
    <x v="2"/>
    <n v="460"/>
    <n v="50274"/>
    <x v="1"/>
    <n v="26"/>
    <x v="0"/>
    <n v="109.29130434782608"/>
  </r>
  <r>
    <x v="36"/>
    <x v="34"/>
    <x v="2"/>
    <x v="9"/>
    <x v="0"/>
    <n v="145"/>
    <n v="43615"/>
    <x v="1"/>
    <n v="49"/>
    <x v="1"/>
    <n v="300.79310344827587"/>
  </r>
  <r>
    <x v="37"/>
    <x v="35"/>
    <x v="1"/>
    <x v="7"/>
    <x v="3"/>
    <n v="115"/>
    <n v="14076"/>
    <x v="0"/>
    <n v="42"/>
    <x v="2"/>
    <n v="122.4"/>
  </r>
  <r>
    <x v="38"/>
    <x v="36"/>
    <x v="2"/>
    <x v="2"/>
    <x v="0"/>
    <n v="248"/>
    <n v="12870"/>
    <x v="0"/>
    <n v="36"/>
    <x v="2"/>
    <n v="51.895161290322584"/>
  </r>
  <r>
    <x v="39"/>
    <x v="37"/>
    <x v="3"/>
    <x v="1"/>
    <x v="0"/>
    <n v="165"/>
    <n v="679"/>
    <x v="1"/>
    <n v="52"/>
    <x v="1"/>
    <n v="4.1151515151515152"/>
  </r>
  <r>
    <x v="40"/>
    <x v="38"/>
    <x v="1"/>
    <x v="7"/>
    <x v="1"/>
    <n v="51"/>
    <n v="35280"/>
    <x v="1"/>
    <n v="42"/>
    <x v="2"/>
    <n v="691.76470588235293"/>
  </r>
  <r>
    <x v="41"/>
    <x v="39"/>
    <x v="2"/>
    <x v="7"/>
    <x v="0"/>
    <n v="382"/>
    <n v="37490"/>
    <x v="1"/>
    <n v="42"/>
    <x v="2"/>
    <n v="98.141361256544499"/>
  </r>
  <r>
    <x v="42"/>
    <x v="40"/>
    <x v="2"/>
    <x v="7"/>
    <x v="0"/>
    <n v="354"/>
    <n v="679"/>
    <x v="1"/>
    <n v="42"/>
    <x v="2"/>
    <n v="1.9180790960451977"/>
  </r>
  <r>
    <x v="43"/>
    <x v="41"/>
    <x v="3"/>
    <x v="1"/>
    <x v="1"/>
    <n v="368"/>
    <n v="46068"/>
    <x v="0"/>
    <n v="52"/>
    <x v="1"/>
    <n v="125.18478260869566"/>
  </r>
  <r>
    <x v="44"/>
    <x v="42"/>
    <x v="1"/>
    <x v="2"/>
    <x v="3"/>
    <n v="79"/>
    <n v="11078"/>
    <x v="0"/>
    <n v="36"/>
    <x v="2"/>
    <n v="140.22784810126583"/>
  </r>
  <r>
    <x v="45"/>
    <x v="43"/>
    <x v="1"/>
    <x v="5"/>
    <x v="0"/>
    <n v="231"/>
    <n v="32045"/>
    <x v="0"/>
    <n v="28"/>
    <x v="0"/>
    <n v="138.72294372294371"/>
  </r>
  <r>
    <x v="46"/>
    <x v="44"/>
    <x v="3"/>
    <x v="3"/>
    <x v="0"/>
    <n v="288"/>
    <n v="33284"/>
    <x v="0"/>
    <n v="57"/>
    <x v="1"/>
    <n v="115.56944444444444"/>
  </r>
  <r>
    <x v="47"/>
    <x v="45"/>
    <x v="2"/>
    <x v="4"/>
    <x v="3"/>
    <n v="214"/>
    <n v="11954"/>
    <x v="0"/>
    <n v="26"/>
    <x v="0"/>
    <n v="55.859813084112147"/>
  </r>
  <r>
    <x v="48"/>
    <x v="5"/>
    <x v="0"/>
    <x v="4"/>
    <x v="2"/>
    <n v="74"/>
    <n v="36708"/>
    <x v="1"/>
    <n v="26"/>
    <x v="0"/>
    <n v="496.05405405405406"/>
  </r>
  <r>
    <x v="49"/>
    <x v="46"/>
    <x v="2"/>
    <x v="0"/>
    <x v="1"/>
    <n v="177"/>
    <n v="30600"/>
    <x v="1"/>
    <n v="25"/>
    <x v="0"/>
    <n v="172.88135593220338"/>
  </r>
  <r>
    <x v="50"/>
    <x v="47"/>
    <x v="0"/>
    <x v="3"/>
    <x v="2"/>
    <n v="358"/>
    <n v="13568"/>
    <x v="0"/>
    <n v="57"/>
    <x v="1"/>
    <n v="37.899441340782126"/>
  </r>
  <r>
    <x v="51"/>
    <x v="5"/>
    <x v="0"/>
    <x v="7"/>
    <x v="2"/>
    <n v="343"/>
    <n v="33344"/>
    <x v="1"/>
    <n v="42"/>
    <x v="2"/>
    <n v="97.212827988338191"/>
  </r>
  <r>
    <x v="52"/>
    <x v="48"/>
    <x v="3"/>
    <x v="7"/>
    <x v="2"/>
    <n v="63"/>
    <n v="3960"/>
    <x v="1"/>
    <n v="42"/>
    <x v="2"/>
    <n v="62.857142857142854"/>
  </r>
  <r>
    <x v="53"/>
    <x v="49"/>
    <x v="1"/>
    <x v="6"/>
    <x v="0"/>
    <n v="429"/>
    <n v="58208"/>
    <x v="1"/>
    <n v="28"/>
    <x v="0"/>
    <n v="135.68298368298369"/>
  </r>
  <r>
    <x v="54"/>
    <x v="50"/>
    <x v="0"/>
    <x v="7"/>
    <x v="1"/>
    <n v="491"/>
    <n v="59458"/>
    <x v="1"/>
    <n v="42"/>
    <x v="2"/>
    <n v="121.09572301425662"/>
  </r>
  <r>
    <x v="55"/>
    <x v="51"/>
    <x v="1"/>
    <x v="7"/>
    <x v="0"/>
    <n v="344"/>
    <n v="13872"/>
    <x v="0"/>
    <n v="42"/>
    <x v="2"/>
    <n v="40.325581395348834"/>
  </r>
  <r>
    <x v="56"/>
    <x v="22"/>
    <x v="1"/>
    <x v="0"/>
    <x v="1"/>
    <n v="255"/>
    <n v="57706"/>
    <x v="0"/>
    <n v="25"/>
    <x v="0"/>
    <n v="226.29803921568629"/>
  </r>
  <r>
    <x v="57"/>
    <x v="52"/>
    <x v="0"/>
    <x v="7"/>
    <x v="0"/>
    <n v="160"/>
    <n v="59248"/>
    <x v="0"/>
    <n v="42"/>
    <x v="2"/>
    <n v="370.3"/>
  </r>
  <r>
    <x v="58"/>
    <x v="53"/>
    <x v="2"/>
    <x v="0"/>
    <x v="3"/>
    <n v="322"/>
    <n v="29440"/>
    <x v="1"/>
    <n v="25"/>
    <x v="0"/>
    <n v="91.428571428571431"/>
  </r>
  <r>
    <x v="59"/>
    <x v="54"/>
    <x v="2"/>
    <x v="0"/>
    <x v="2"/>
    <n v="178"/>
    <n v="679"/>
    <x v="1"/>
    <n v="25"/>
    <x v="0"/>
    <n v="3.8146067415730336"/>
  </r>
  <r>
    <x v="60"/>
    <x v="26"/>
    <x v="1"/>
    <x v="1"/>
    <x v="0"/>
    <n v="151"/>
    <n v="8475"/>
    <x v="0"/>
    <n v="52"/>
    <x v="1"/>
    <n v="56.12582781456954"/>
  </r>
  <r>
    <x v="61"/>
    <x v="5"/>
    <x v="1"/>
    <x v="3"/>
    <x v="2"/>
    <n v="535"/>
    <n v="44330"/>
    <x v="1"/>
    <n v="57"/>
    <x v="1"/>
    <n v="82.859813084112147"/>
  </r>
  <r>
    <x v="62"/>
    <x v="49"/>
    <x v="3"/>
    <x v="0"/>
    <x v="0"/>
    <n v="305"/>
    <n v="3186"/>
    <x v="0"/>
    <n v="25"/>
    <x v="0"/>
    <n v="10.445901639344262"/>
  </r>
  <r>
    <x v="63"/>
    <x v="55"/>
    <x v="1"/>
    <x v="0"/>
    <x v="3"/>
    <n v="188"/>
    <n v="679"/>
    <x v="0"/>
    <n v="25"/>
    <x v="0"/>
    <n v="3.6117021276595747"/>
  </r>
  <r>
    <x v="64"/>
    <x v="56"/>
    <x v="3"/>
    <x v="7"/>
    <x v="0"/>
    <n v="495"/>
    <n v="679"/>
    <x v="1"/>
    <n v="42"/>
    <x v="2"/>
    <n v="1.3717171717171717"/>
  </r>
  <r>
    <x v="65"/>
    <x v="57"/>
    <x v="1"/>
    <x v="5"/>
    <x v="3"/>
    <n v="190"/>
    <n v="28050"/>
    <x v="0"/>
    <n v="28"/>
    <x v="0"/>
    <n v="147.63157894736841"/>
  </r>
  <r>
    <x v="66"/>
    <x v="58"/>
    <x v="1"/>
    <x v="4"/>
    <x v="0"/>
    <n v="511"/>
    <n v="16698"/>
    <x v="2"/>
    <n v="26"/>
    <x v="0"/>
    <n v="32.677103718199611"/>
  </r>
  <r>
    <x v="67"/>
    <x v="5"/>
    <x v="0"/>
    <x v="9"/>
    <x v="0"/>
    <n v="308"/>
    <n v="27956"/>
    <x v="2"/>
    <n v="49"/>
    <x v="1"/>
    <n v="90.766233766233768"/>
  </r>
  <r>
    <x v="68"/>
    <x v="59"/>
    <x v="3"/>
    <x v="2"/>
    <x v="1"/>
    <n v="183"/>
    <n v="679"/>
    <x v="1"/>
    <n v="36"/>
    <x v="2"/>
    <n v="3.7103825136612021"/>
  </r>
  <r>
    <x v="69"/>
    <x v="60"/>
    <x v="2"/>
    <x v="7"/>
    <x v="1"/>
    <n v="335"/>
    <n v="36984"/>
    <x v="0"/>
    <n v="42"/>
    <x v="2"/>
    <n v="110.4"/>
  </r>
  <r>
    <x v="70"/>
    <x v="5"/>
    <x v="2"/>
    <x v="9"/>
    <x v="1"/>
    <n v="95"/>
    <n v="46800"/>
    <x v="1"/>
    <n v="49"/>
    <x v="1"/>
    <n v="492.63157894736844"/>
  </r>
  <r>
    <x v="71"/>
    <x v="61"/>
    <x v="2"/>
    <x v="7"/>
    <x v="1"/>
    <n v="218"/>
    <n v="7125"/>
    <x v="1"/>
    <n v="42"/>
    <x v="2"/>
    <n v="32.683486238532112"/>
  </r>
  <r>
    <x v="72"/>
    <x v="62"/>
    <x v="1"/>
    <x v="7"/>
    <x v="2"/>
    <n v="265"/>
    <n v="12320"/>
    <x v="0"/>
    <n v="42"/>
    <x v="2"/>
    <n v="46.490566037735846"/>
  </r>
  <r>
    <x v="73"/>
    <x v="63"/>
    <x v="1"/>
    <x v="1"/>
    <x v="3"/>
    <n v="213"/>
    <n v="42028"/>
    <x v="0"/>
    <n v="52"/>
    <x v="1"/>
    <n v="197.31455399061034"/>
  </r>
  <r>
    <x v="74"/>
    <x v="64"/>
    <x v="1"/>
    <x v="6"/>
    <x v="0"/>
    <n v="128"/>
    <n v="679"/>
    <x v="1"/>
    <n v="28"/>
    <x v="0"/>
    <n v="5.3046875"/>
  </r>
  <r>
    <x v="75"/>
    <x v="8"/>
    <x v="2"/>
    <x v="0"/>
    <x v="3"/>
    <n v="208"/>
    <n v="25758"/>
    <x v="2"/>
    <n v="25"/>
    <x v="0"/>
    <n v="123.83653846153847"/>
  </r>
  <r>
    <x v="76"/>
    <x v="65"/>
    <x v="1"/>
    <x v="7"/>
    <x v="1"/>
    <n v="115"/>
    <n v="34804"/>
    <x v="0"/>
    <n v="42"/>
    <x v="2"/>
    <n v="302.64347826086959"/>
  </r>
  <r>
    <x v="77"/>
    <x v="17"/>
    <x v="0"/>
    <x v="4"/>
    <x v="0"/>
    <n v="465"/>
    <n v="679"/>
    <x v="0"/>
    <n v="26"/>
    <x v="0"/>
    <n v="1.4602150537634409"/>
  </r>
  <r>
    <x v="78"/>
    <x v="66"/>
    <x v="3"/>
    <x v="7"/>
    <x v="2"/>
    <n v="519"/>
    <n v="45312"/>
    <x v="1"/>
    <n v="42"/>
    <x v="2"/>
    <n v="87.306358381502889"/>
  </r>
  <r>
    <x v="79"/>
    <x v="5"/>
    <x v="0"/>
    <x v="3"/>
    <x v="2"/>
    <n v="380"/>
    <n v="44525"/>
    <x v="2"/>
    <n v="57"/>
    <x v="1"/>
    <n v="117.17105263157895"/>
  </r>
  <r>
    <x v="80"/>
    <x v="10"/>
    <x v="3"/>
    <x v="7"/>
    <x v="0"/>
    <n v="32"/>
    <n v="3132"/>
    <x v="1"/>
    <n v="42"/>
    <x v="2"/>
    <n v="97.875"/>
  </r>
  <r>
    <x v="81"/>
    <x v="67"/>
    <x v="3"/>
    <x v="0"/>
    <x v="1"/>
    <n v="130"/>
    <n v="16740"/>
    <x v="0"/>
    <n v="25"/>
    <x v="0"/>
    <n v="128.76923076923077"/>
  </r>
  <r>
    <x v="82"/>
    <x v="18"/>
    <x v="1"/>
    <x v="4"/>
    <x v="2"/>
    <n v="545"/>
    <n v="65250"/>
    <x v="0"/>
    <n v="26"/>
    <x v="0"/>
    <n v="119.72477064220183"/>
  </r>
  <r>
    <x v="83"/>
    <x v="68"/>
    <x v="1"/>
    <x v="5"/>
    <x v="3"/>
    <n v="84"/>
    <n v="10688"/>
    <x v="0"/>
    <n v="28"/>
    <x v="0"/>
    <n v="127.23809523809524"/>
  </r>
  <r>
    <x v="84"/>
    <x v="69"/>
    <x v="1"/>
    <x v="7"/>
    <x v="3"/>
    <n v="192"/>
    <n v="18648"/>
    <x v="0"/>
    <n v="42"/>
    <x v="2"/>
    <n v="97.125"/>
  </r>
  <r>
    <x v="85"/>
    <x v="70"/>
    <x v="0"/>
    <x v="5"/>
    <x v="0"/>
    <n v="60"/>
    <n v="5822"/>
    <x v="1"/>
    <n v="28"/>
    <x v="0"/>
    <n v="97.033333333333331"/>
  </r>
  <r>
    <x v="86"/>
    <x v="71"/>
    <x v="1"/>
    <x v="7"/>
    <x v="1"/>
    <n v="209"/>
    <n v="51221"/>
    <x v="0"/>
    <n v="42"/>
    <x v="2"/>
    <n v="245.07655502392345"/>
  </r>
  <r>
    <x v="87"/>
    <x v="72"/>
    <x v="2"/>
    <x v="5"/>
    <x v="1"/>
    <n v="264"/>
    <n v="75332"/>
    <x v="0"/>
    <n v="28"/>
    <x v="0"/>
    <n v="285.34848484848487"/>
  </r>
  <r>
    <x v="88"/>
    <x v="73"/>
    <x v="1"/>
    <x v="4"/>
    <x v="3"/>
    <n v="97"/>
    <n v="679"/>
    <x v="0"/>
    <n v="26"/>
    <x v="0"/>
    <n v="7"/>
  </r>
  <r>
    <x v="89"/>
    <x v="74"/>
    <x v="1"/>
    <x v="4"/>
    <x v="1"/>
    <n v="404"/>
    <n v="13310"/>
    <x v="0"/>
    <n v="26"/>
    <x v="0"/>
    <n v="32.945544554455445"/>
  </r>
  <r>
    <x v="90"/>
    <x v="75"/>
    <x v="2"/>
    <x v="7"/>
    <x v="2"/>
    <n v="386"/>
    <n v="47952"/>
    <x v="1"/>
    <n v="42"/>
    <x v="2"/>
    <n v="124.2279792746114"/>
  </r>
  <r>
    <x v="91"/>
    <x v="76"/>
    <x v="0"/>
    <x v="0"/>
    <x v="2"/>
    <n v="214"/>
    <n v="4984"/>
    <x v="1"/>
    <n v="25"/>
    <x v="0"/>
    <n v="23.289719626168225"/>
  </r>
  <r>
    <x v="92"/>
    <x v="77"/>
    <x v="0"/>
    <x v="6"/>
    <x v="0"/>
    <n v="366"/>
    <n v="4131"/>
    <x v="1"/>
    <n v="28"/>
    <x v="0"/>
    <n v="11.28688524590164"/>
  </r>
  <r>
    <x v="93"/>
    <x v="78"/>
    <x v="2"/>
    <x v="8"/>
    <x v="0"/>
    <n v="173"/>
    <n v="24549"/>
    <x v="1"/>
    <n v="25"/>
    <x v="0"/>
    <n v="141.90173410404626"/>
  </r>
  <r>
    <x v="94"/>
    <x v="79"/>
    <x v="2"/>
    <x v="7"/>
    <x v="1"/>
    <n v="306"/>
    <n v="679"/>
    <x v="0"/>
    <n v="42"/>
    <x v="2"/>
    <n v="2.2189542483660132"/>
  </r>
  <r>
    <x v="95"/>
    <x v="80"/>
    <x v="2"/>
    <x v="5"/>
    <x v="0"/>
    <n v="128"/>
    <n v="35088"/>
    <x v="1"/>
    <n v="28"/>
    <x v="0"/>
    <n v="274.125"/>
  </r>
  <r>
    <x v="96"/>
    <x v="81"/>
    <x v="1"/>
    <x v="0"/>
    <x v="3"/>
    <n v="368"/>
    <n v="25254"/>
    <x v="0"/>
    <n v="25"/>
    <x v="0"/>
    <n v="68.625"/>
  </r>
  <r>
    <x v="97"/>
    <x v="82"/>
    <x v="1"/>
    <x v="3"/>
    <x v="2"/>
    <n v="222"/>
    <n v="17500"/>
    <x v="1"/>
    <n v="57"/>
    <x v="1"/>
    <n v="78.828828828828833"/>
  </r>
  <r>
    <x v="98"/>
    <x v="83"/>
    <x v="1"/>
    <x v="7"/>
    <x v="3"/>
    <n v="216"/>
    <n v="36934"/>
    <x v="0"/>
    <n v="42"/>
    <x v="2"/>
    <n v="170.99074074074073"/>
  </r>
  <r>
    <x v="99"/>
    <x v="26"/>
    <x v="1"/>
    <x v="1"/>
    <x v="3"/>
    <n v="307"/>
    <n v="679"/>
    <x v="0"/>
    <n v="52"/>
    <x v="1"/>
    <n v="2.2117263843648209"/>
  </r>
  <r>
    <x v="100"/>
    <x v="15"/>
    <x v="0"/>
    <x v="0"/>
    <x v="1"/>
    <n v="384"/>
    <n v="40565"/>
    <x v="0"/>
    <n v="25"/>
    <x v="0"/>
    <n v="105.63802083333333"/>
  </r>
  <r>
    <x v="101"/>
    <x v="84"/>
    <x v="3"/>
    <x v="4"/>
    <x v="0"/>
    <n v="376"/>
    <n v="679"/>
    <x v="0"/>
    <n v="26"/>
    <x v="0"/>
    <n v="1.8058510638297873"/>
  </r>
  <r>
    <x v="102"/>
    <x v="85"/>
    <x v="3"/>
    <x v="3"/>
    <x v="0"/>
    <n v="97"/>
    <n v="679"/>
    <x v="0"/>
    <n v="57"/>
    <x v="1"/>
    <n v="7"/>
  </r>
  <r>
    <x v="103"/>
    <x v="86"/>
    <x v="1"/>
    <x v="7"/>
    <x v="2"/>
    <n v="359"/>
    <n v="12753"/>
    <x v="1"/>
    <n v="42"/>
    <x v="2"/>
    <n v="35.523676880222844"/>
  </r>
  <r>
    <x v="104"/>
    <x v="5"/>
    <x v="2"/>
    <x v="7"/>
    <x v="2"/>
    <n v="318"/>
    <n v="16864"/>
    <x v="1"/>
    <n v="42"/>
    <x v="2"/>
    <n v="53.031446540880502"/>
  </r>
  <r>
    <x v="105"/>
    <x v="87"/>
    <x v="0"/>
    <x v="7"/>
    <x v="0"/>
    <n v="51"/>
    <n v="56888"/>
    <x v="0"/>
    <n v="42"/>
    <x v="2"/>
    <n v="1115.4509803921569"/>
  </r>
  <r>
    <x v="106"/>
    <x v="88"/>
    <x v="3"/>
    <x v="5"/>
    <x v="2"/>
    <n v="236"/>
    <n v="679"/>
    <x v="2"/>
    <n v="28"/>
    <x v="0"/>
    <n v="2.8771186440677967"/>
  </r>
  <r>
    <x v="107"/>
    <x v="89"/>
    <x v="1"/>
    <x v="7"/>
    <x v="0"/>
    <n v="214"/>
    <n v="31122"/>
    <x v="1"/>
    <n v="42"/>
    <x v="2"/>
    <n v="145.42990654205607"/>
  </r>
  <r>
    <x v="108"/>
    <x v="90"/>
    <x v="3"/>
    <x v="6"/>
    <x v="0"/>
    <n v="86"/>
    <n v="25853"/>
    <x v="0"/>
    <n v="28"/>
    <x v="0"/>
    <n v="300.61627906976742"/>
  </r>
  <r>
    <x v="109"/>
    <x v="91"/>
    <x v="1"/>
    <x v="1"/>
    <x v="2"/>
    <n v="155"/>
    <n v="11092"/>
    <x v="0"/>
    <n v="52"/>
    <x v="1"/>
    <n v="71.561290322580646"/>
  </r>
  <r>
    <x v="110"/>
    <x v="84"/>
    <x v="2"/>
    <x v="4"/>
    <x v="3"/>
    <n v="319"/>
    <n v="4221"/>
    <x v="1"/>
    <n v="26"/>
    <x v="0"/>
    <n v="13.231974921630094"/>
  </r>
  <r>
    <x v="111"/>
    <x v="92"/>
    <x v="3"/>
    <x v="8"/>
    <x v="0"/>
    <n v="62"/>
    <n v="31500"/>
    <x v="1"/>
    <n v="25"/>
    <x v="0"/>
    <n v="508.06451612903226"/>
  </r>
  <r>
    <x v="112"/>
    <x v="93"/>
    <x v="3"/>
    <x v="4"/>
    <x v="0"/>
    <n v="81"/>
    <n v="31414"/>
    <x v="0"/>
    <n v="26"/>
    <x v="0"/>
    <n v="387.82716049382714"/>
  </r>
  <r>
    <x v="113"/>
    <x v="94"/>
    <x v="2"/>
    <x v="3"/>
    <x v="0"/>
    <n v="126"/>
    <n v="40446"/>
    <x v="2"/>
    <n v="57"/>
    <x v="1"/>
    <n v="321"/>
  </r>
  <r>
    <x v="114"/>
    <x v="60"/>
    <x v="1"/>
    <x v="4"/>
    <x v="0"/>
    <n v="541"/>
    <n v="42432"/>
    <x v="0"/>
    <n v="26"/>
    <x v="0"/>
    <n v="78.432532347504619"/>
  </r>
  <r>
    <x v="115"/>
    <x v="95"/>
    <x v="2"/>
    <x v="5"/>
    <x v="1"/>
    <n v="666"/>
    <n v="64635"/>
    <x v="1"/>
    <n v="28"/>
    <x v="0"/>
    <n v="97.049549549549553"/>
  </r>
  <r>
    <x v="116"/>
    <x v="96"/>
    <x v="2"/>
    <x v="4"/>
    <x v="3"/>
    <n v="527"/>
    <n v="51168"/>
    <x v="1"/>
    <n v="26"/>
    <x v="0"/>
    <n v="97.092979127134726"/>
  </r>
  <r>
    <x v="117"/>
    <x v="97"/>
    <x v="1"/>
    <x v="7"/>
    <x v="0"/>
    <n v="289"/>
    <n v="24948"/>
    <x v="1"/>
    <n v="42"/>
    <x v="2"/>
    <n v="86.325259515570934"/>
  </r>
  <r>
    <x v="118"/>
    <x v="72"/>
    <x v="1"/>
    <x v="3"/>
    <x v="3"/>
    <n v="199"/>
    <n v="56118"/>
    <x v="2"/>
    <n v="57"/>
    <x v="1"/>
    <n v="282"/>
  </r>
  <r>
    <x v="119"/>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656351-12C1-43E0-95C1-384A08D7879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axis="axisRow" showAll="0">
      <items count="5">
        <item x="0"/>
        <item x="3"/>
        <item x="1"/>
        <item x="2"/>
        <item t="default"/>
      </items>
    </pivotField>
    <pivotField showAll="0"/>
    <pivotField dataField="1" showAll="0"/>
    <pivotField showAll="0"/>
    <pivotField showAll="0"/>
    <pivotField showAll="0"/>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95CBC7-9803-469C-9958-5FF903894F0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3"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5">
        <item x="0"/>
        <item x="1"/>
        <item x="2"/>
        <item x="3"/>
        <item t="default"/>
      </items>
    </pivotField>
  </pivotFields>
  <rowFields count="1">
    <field x="3"/>
  </rowFields>
  <rowItems count="10">
    <i>
      <x v="8"/>
    </i>
    <i>
      <x v="4"/>
    </i>
    <i>
      <x v="7"/>
    </i>
    <i>
      <x v="1"/>
    </i>
    <i>
      <x v="5"/>
    </i>
    <i>
      <x/>
    </i>
    <i>
      <x v="2"/>
    </i>
    <i>
      <x v="9"/>
    </i>
    <i>
      <x v="3"/>
    </i>
    <i t="grand">
      <x/>
    </i>
  </rowItems>
  <colItems count="1">
    <i/>
  </colItems>
  <dataFields count="1">
    <dataField name="Number of Tasks" fld="0" subtotal="count" baseField="3" baseItem="0"/>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FB7CA0-3335-43B7-9DF9-277B2F91ACA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4" firstHeaderRow="1" firstDataRow="1" firstDataCol="1"/>
  <pivotFields count="14">
    <pivotField showAll="0"/>
    <pivotField axis="axisRow"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showAll="0"/>
    <pivotField dataField="1" showAll="0"/>
    <pivotField showAll="0"/>
    <pivotField showAll="0"/>
    <pivotField showAll="0"/>
    <pivotField showAll="0"/>
    <pivotField numFmtI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13"/>
    <field x="12"/>
    <field x="11"/>
    <field x="1"/>
  </rowFields>
  <rowItems count="21">
    <i>
      <x v="1"/>
    </i>
    <i r="1">
      <x v="3"/>
    </i>
    <i r="2">
      <x v="9"/>
    </i>
    <i r="1">
      <x v="4"/>
    </i>
    <i r="2">
      <x v="10"/>
    </i>
    <i r="2">
      <x v="11"/>
    </i>
    <i r="2">
      <x v="12"/>
    </i>
    <i>
      <x v="2"/>
    </i>
    <i r="1">
      <x v="1"/>
    </i>
    <i r="2">
      <x v="1"/>
    </i>
    <i r="2">
      <x v="2"/>
    </i>
    <i r="2">
      <x v="3"/>
    </i>
    <i r="1">
      <x v="2"/>
    </i>
    <i r="2">
      <x v="4"/>
    </i>
    <i r="2">
      <x v="5"/>
    </i>
    <i r="2">
      <x v="6"/>
    </i>
    <i r="1">
      <x v="3"/>
    </i>
    <i r="2">
      <x v="7"/>
    </i>
    <i r="2">
      <x v="8"/>
    </i>
    <i r="2">
      <x v="9"/>
    </i>
    <i t="grand">
      <x/>
    </i>
  </rowItems>
  <colItems count="1">
    <i/>
  </colItems>
  <dataFields count="1">
    <dataField name="Sum of UnitsProduced" fld="5" baseField="0" baseItem="0"/>
  </dataField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4">
          <reference field="4294967294" count="1" selected="0">
            <x v="0"/>
          </reference>
          <reference field="11" count="1" selected="0">
            <x v="11"/>
          </reference>
          <reference field="12" count="1" selected="0">
            <x v="4"/>
          </reference>
          <reference field="13" count="1" selected="0">
            <x v="1"/>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1D45AA-A9BF-4D0F-A08E-7ADBC754F2F9}"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axis="axisRow" showAll="0">
      <items count="5">
        <item x="0"/>
        <item x="3"/>
        <item x="1"/>
        <item x="2"/>
        <item t="default"/>
      </items>
    </pivotField>
    <pivotField showAll="0"/>
    <pivotField showAll="0"/>
    <pivotField showAll="0"/>
    <pivotField showAll="0"/>
    <pivotField showAll="0"/>
    <pivotField dataField="1" numFmtId="1"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69"/>
  </dataFields>
  <formats count="1">
    <format dxfId="0">
      <pivotArea outline="0" collapsedLevelsAreSubtotals="1" fieldPosition="0"/>
    </format>
  </formats>
  <chartFormats count="1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2"/>
          </reference>
        </references>
      </pivotArea>
    </chartFormat>
    <chartFormat chart="2" format="8">
      <pivotArea type="data" outline="0" fieldPosition="0">
        <references count="2">
          <reference field="4294967294" count="1" selected="0">
            <x v="0"/>
          </reference>
          <reference field="4" count="1" selected="0">
            <x v="3"/>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1"/>
          </reference>
        </references>
      </pivotArea>
    </chartFormat>
    <chartFormat chart="3" format="12">
      <pivotArea type="data" outline="0" fieldPosition="0">
        <references count="2">
          <reference field="4294967294" count="1" selected="0">
            <x v="0"/>
          </reference>
          <reference field="4" count="1" selected="0">
            <x v="2"/>
          </reference>
        </references>
      </pivotArea>
    </chartFormat>
    <chartFormat chart="3" format="13">
      <pivotArea type="data" outline="0" fieldPosition="0">
        <references count="2">
          <reference field="4294967294" count="1" selected="0">
            <x v="0"/>
          </reference>
          <reference field="4" count="1" selected="0">
            <x v="3"/>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2"/>
          </reference>
        </references>
      </pivotArea>
    </chartFormat>
    <chartFormat chart="4" format="1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0A999F-65DE-4DF3-ABC8-5CB72A6CCF97}" sourceName="Region">
  <pivotTables>
    <pivotTable tabId="11" name="PivotTable3"/>
  </pivotTables>
  <data>
    <tabular pivotCacheId="153321012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F7730B1-A2FD-44E1-994E-3AD28595AB0D}" sourceName="Gender">
  <pivotTables>
    <pivotTable tabId="11" name="PivotTable3"/>
  </pivotTables>
  <data>
    <tabular pivotCacheId="153321012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1445130C-8214-4006-828D-469E6E2E7101}" sourceName="Age Groups">
  <pivotTables>
    <pivotTable tabId="11" name="PivotTable3"/>
  </pivotTables>
  <data>
    <tabular pivotCacheId="153321012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76300D88-E8E7-4773-8244-A85EA9775A1A}" sourceName="Quarters (ProductionDate)">
  <pivotTables>
    <pivotTable tabId="11" name="PivotTable3"/>
  </pivotTables>
  <data>
    <tabular pivotCacheId="1533210124">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215F01-EEED-4C88-AA86-18CB1A940D33}" cache="Slicer_Region" caption="Region" rowHeight="234950"/>
  <slicer name="Gender" xr10:uid="{BB42E625-AE8B-4893-B7F5-D7E0BB29D4BF}" cache="Slicer_Gender" caption="Gender" rowHeight="234950"/>
  <slicer name="Age Groups" xr10:uid="{8E926724-AEA1-4BB5-A2AF-7627E1B59077}" cache="Slicer_Age_Groups" caption="Age Groups" rowHeight="234950"/>
  <slicer name="Quarters (ProductionDate)" xr10:uid="{D490835F-04E3-47F3-A260-F4F27D623424}"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2BD57-84EB-4BCF-BE9B-0E60D541842E}">
  <dimension ref="A3:B8"/>
  <sheetViews>
    <sheetView zoomScale="77" workbookViewId="0">
      <selection activeCell="E31" sqref="E31"/>
    </sheetView>
  </sheetViews>
  <sheetFormatPr defaultRowHeight="14.4" x14ac:dyDescent="0.3"/>
  <cols>
    <col min="1" max="1" width="13.33203125" bestFit="1" customWidth="1"/>
    <col min="2" max="2" width="15.5546875"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FF3B2-CEFE-4EE7-953D-231A212BBFB3}">
  <dimension ref="A3:B13"/>
  <sheetViews>
    <sheetView topLeftCell="A4" zoomScale="59" workbookViewId="0">
      <selection activeCell="E12" sqref="E12"/>
    </sheetView>
  </sheetViews>
  <sheetFormatPr defaultRowHeight="14.4" x14ac:dyDescent="0.3"/>
  <cols>
    <col min="1" max="1" width="18.5546875" bestFit="1" customWidth="1"/>
    <col min="2" max="2" width="21.77734375" bestFit="1" customWidth="1"/>
  </cols>
  <sheetData>
    <row r="3" spans="1:2" x14ac:dyDescent="0.3">
      <c r="A3" s="3" t="s">
        <v>32</v>
      </c>
      <c r="B3" t="s">
        <v>35</v>
      </c>
    </row>
    <row r="4" spans="1:2" x14ac:dyDescent="0.3">
      <c r="A4" s="4" t="s">
        <v>24</v>
      </c>
      <c r="B4" s="5">
        <v>11</v>
      </c>
    </row>
    <row r="5" spans="1:2" x14ac:dyDescent="0.3">
      <c r="A5" s="4" t="s">
        <v>20</v>
      </c>
      <c r="B5" s="5">
        <v>6</v>
      </c>
    </row>
    <row r="6" spans="1:2" x14ac:dyDescent="0.3">
      <c r="A6" s="4" t="s">
        <v>19</v>
      </c>
      <c r="B6" s="5">
        <v>5</v>
      </c>
    </row>
    <row r="7" spans="1:2" x14ac:dyDescent="0.3">
      <c r="A7" s="4" t="s">
        <v>26</v>
      </c>
      <c r="B7" s="5">
        <v>5</v>
      </c>
    </row>
    <row r="8" spans="1:2" x14ac:dyDescent="0.3">
      <c r="A8" s="4" t="s">
        <v>9</v>
      </c>
      <c r="B8" s="5">
        <v>5</v>
      </c>
    </row>
    <row r="9" spans="1:2" x14ac:dyDescent="0.3">
      <c r="A9" s="4" t="s">
        <v>21</v>
      </c>
      <c r="B9" s="5">
        <v>4</v>
      </c>
    </row>
    <row r="10" spans="1:2" x14ac:dyDescent="0.3">
      <c r="A10" s="4" t="s">
        <v>22</v>
      </c>
      <c r="B10" s="5">
        <v>2</v>
      </c>
    </row>
    <row r="11" spans="1:2" x14ac:dyDescent="0.3">
      <c r="A11" s="4" t="s">
        <v>16</v>
      </c>
      <c r="B11" s="5">
        <v>1</v>
      </c>
    </row>
    <row r="12" spans="1:2" x14ac:dyDescent="0.3">
      <c r="A12" s="4" t="s">
        <v>25</v>
      </c>
      <c r="B12" s="5">
        <v>1</v>
      </c>
    </row>
    <row r="13" spans="1:2" x14ac:dyDescent="0.3">
      <c r="A13" s="4" t="s">
        <v>33</v>
      </c>
      <c r="B13" s="5">
        <v>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F9DE-49F8-4A63-BF25-4FFFF1AD93E9}">
  <dimension ref="A3:B24"/>
  <sheetViews>
    <sheetView zoomScale="74" workbookViewId="0">
      <selection activeCell="G30" sqref="G30"/>
    </sheetView>
  </sheetViews>
  <sheetFormatPr defaultRowHeight="14.4" x14ac:dyDescent="0.3"/>
  <cols>
    <col min="1" max="1" width="13.88671875" bestFit="1" customWidth="1"/>
    <col min="2" max="2" width="21.109375" bestFit="1" customWidth="1"/>
  </cols>
  <sheetData>
    <row r="3" spans="1:2" x14ac:dyDescent="0.3">
      <c r="A3" s="3" t="s">
        <v>32</v>
      </c>
      <c r="B3" t="s">
        <v>38</v>
      </c>
    </row>
    <row r="4" spans="1:2" x14ac:dyDescent="0.3">
      <c r="A4" s="4" t="s">
        <v>37</v>
      </c>
      <c r="B4" s="5">
        <v>11171</v>
      </c>
    </row>
    <row r="5" spans="1:2" x14ac:dyDescent="0.3">
      <c r="A5" s="6" t="s">
        <v>39</v>
      </c>
      <c r="B5" s="5">
        <v>771</v>
      </c>
    </row>
    <row r="6" spans="1:2" x14ac:dyDescent="0.3">
      <c r="A6" s="7" t="s">
        <v>41</v>
      </c>
      <c r="B6" s="5">
        <v>771</v>
      </c>
    </row>
    <row r="7" spans="1:2" x14ac:dyDescent="0.3">
      <c r="A7" s="6" t="s">
        <v>40</v>
      </c>
      <c r="B7" s="5">
        <v>10400</v>
      </c>
    </row>
    <row r="8" spans="1:2" x14ac:dyDescent="0.3">
      <c r="A8" s="7" t="s">
        <v>42</v>
      </c>
      <c r="B8" s="5">
        <v>3103</v>
      </c>
    </row>
    <row r="9" spans="1:2" x14ac:dyDescent="0.3">
      <c r="A9" s="7" t="s">
        <v>43</v>
      </c>
      <c r="B9" s="5">
        <v>4803</v>
      </c>
    </row>
    <row r="10" spans="1:2" x14ac:dyDescent="0.3">
      <c r="A10" s="7" t="s">
        <v>44</v>
      </c>
      <c r="B10" s="5">
        <v>2494</v>
      </c>
    </row>
    <row r="11" spans="1:2" x14ac:dyDescent="0.3">
      <c r="A11" s="4" t="s">
        <v>36</v>
      </c>
      <c r="B11" s="5">
        <v>23556</v>
      </c>
    </row>
    <row r="12" spans="1:2" x14ac:dyDescent="0.3">
      <c r="A12" s="6" t="s">
        <v>45</v>
      </c>
      <c r="B12" s="5">
        <v>11028</v>
      </c>
    </row>
    <row r="13" spans="1:2" x14ac:dyDescent="0.3">
      <c r="A13" s="7" t="s">
        <v>49</v>
      </c>
      <c r="B13" s="5">
        <v>3026</v>
      </c>
    </row>
    <row r="14" spans="1:2" x14ac:dyDescent="0.3">
      <c r="A14" s="7" t="s">
        <v>50</v>
      </c>
      <c r="B14" s="5">
        <v>4127</v>
      </c>
    </row>
    <row r="15" spans="1:2" x14ac:dyDescent="0.3">
      <c r="A15" s="7" t="s">
        <v>51</v>
      </c>
      <c r="B15" s="5">
        <v>3875</v>
      </c>
    </row>
    <row r="16" spans="1:2" x14ac:dyDescent="0.3">
      <c r="A16" s="6" t="s">
        <v>46</v>
      </c>
      <c r="B16" s="5">
        <v>6749</v>
      </c>
    </row>
    <row r="17" spans="1:2" x14ac:dyDescent="0.3">
      <c r="A17" s="7" t="s">
        <v>52</v>
      </c>
      <c r="B17" s="5">
        <v>1528</v>
      </c>
    </row>
    <row r="18" spans="1:2" x14ac:dyDescent="0.3">
      <c r="A18" s="7" t="s">
        <v>53</v>
      </c>
      <c r="B18" s="5">
        <v>1684</v>
      </c>
    </row>
    <row r="19" spans="1:2" x14ac:dyDescent="0.3">
      <c r="A19" s="7" t="s">
        <v>54</v>
      </c>
      <c r="B19" s="5">
        <v>3537</v>
      </c>
    </row>
    <row r="20" spans="1:2" x14ac:dyDescent="0.3">
      <c r="A20" s="6" t="s">
        <v>39</v>
      </c>
      <c r="B20" s="5">
        <v>5779</v>
      </c>
    </row>
    <row r="21" spans="1:2" x14ac:dyDescent="0.3">
      <c r="A21" s="7" t="s">
        <v>47</v>
      </c>
      <c r="B21" s="5">
        <v>1536</v>
      </c>
    </row>
    <row r="22" spans="1:2" x14ac:dyDescent="0.3">
      <c r="A22" s="7" t="s">
        <v>48</v>
      </c>
      <c r="B22" s="5">
        <v>2864</v>
      </c>
    </row>
    <row r="23" spans="1:2" x14ac:dyDescent="0.3">
      <c r="A23" s="7" t="s">
        <v>41</v>
      </c>
      <c r="B23" s="5">
        <v>1379</v>
      </c>
    </row>
    <row r="24" spans="1:2" x14ac:dyDescent="0.3">
      <c r="A24" s="4" t="s">
        <v>33</v>
      </c>
      <c r="B24" s="5">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218B-1877-443C-8217-C123D0D965F9}">
  <dimension ref="A3:B8"/>
  <sheetViews>
    <sheetView zoomScale="78" zoomScaleNormal="85" workbookViewId="0">
      <selection activeCell="A3" sqref="A3"/>
    </sheetView>
  </sheetViews>
  <sheetFormatPr defaultRowHeight="14.4" x14ac:dyDescent="0.3"/>
  <cols>
    <col min="1" max="1" width="12.5546875" bestFit="1" customWidth="1"/>
    <col min="2" max="2" width="31.77734375" bestFit="1" customWidth="1"/>
  </cols>
  <sheetData>
    <row r="3" spans="1:2" x14ac:dyDescent="0.3">
      <c r="A3" s="3" t="s">
        <v>32</v>
      </c>
      <c r="B3" t="s">
        <v>55</v>
      </c>
    </row>
    <row r="4" spans="1:2" x14ac:dyDescent="0.3">
      <c r="A4" s="4" t="s">
        <v>10</v>
      </c>
      <c r="B4" s="8">
        <v>140.87387695413258</v>
      </c>
    </row>
    <row r="5" spans="1:2" x14ac:dyDescent="0.3">
      <c r="A5" s="4" t="s">
        <v>23</v>
      </c>
      <c r="B5" s="8">
        <v>108.368246516667</v>
      </c>
    </row>
    <row r="6" spans="1:2" x14ac:dyDescent="0.3">
      <c r="A6" s="4" t="s">
        <v>14</v>
      </c>
      <c r="B6" s="8">
        <v>180.4410334877862</v>
      </c>
    </row>
    <row r="7" spans="1:2" x14ac:dyDescent="0.3">
      <c r="A7" s="4" t="s">
        <v>17</v>
      </c>
      <c r="B7" s="8">
        <v>108.97659894637712</v>
      </c>
    </row>
    <row r="8" spans="1:2" x14ac:dyDescent="0.3">
      <c r="A8" s="4" t="s">
        <v>33</v>
      </c>
      <c r="B8" s="8">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BF71-0029-4B2A-842A-A8AED2962BF4}">
  <dimension ref="A1:U6"/>
  <sheetViews>
    <sheetView tabSelected="1" topLeftCell="A4" zoomScale="48" workbookViewId="0">
      <selection sqref="A1:U6"/>
    </sheetView>
  </sheetViews>
  <sheetFormatPr defaultRowHeight="14.4" x14ac:dyDescent="0.3"/>
  <sheetData>
    <row r="1" spans="1:21" x14ac:dyDescent="0.3">
      <c r="A1" s="9" t="s">
        <v>56</v>
      </c>
      <c r="B1" s="10"/>
      <c r="C1" s="10"/>
      <c r="D1" s="10"/>
      <c r="E1" s="10"/>
      <c r="F1" s="10"/>
      <c r="G1" s="10"/>
      <c r="H1" s="10"/>
      <c r="I1" s="10"/>
      <c r="J1" s="10"/>
      <c r="K1" s="10"/>
      <c r="L1" s="10"/>
      <c r="M1" s="10"/>
      <c r="N1" s="10"/>
      <c r="O1" s="10"/>
      <c r="P1" s="10"/>
      <c r="Q1" s="10"/>
      <c r="R1" s="10"/>
      <c r="S1" s="10"/>
      <c r="T1" s="10"/>
      <c r="U1" s="10"/>
    </row>
    <row r="2" spans="1:21" x14ac:dyDescent="0.3">
      <c r="A2" s="10"/>
      <c r="B2" s="10"/>
      <c r="C2" s="10"/>
      <c r="D2" s="10"/>
      <c r="E2" s="10"/>
      <c r="F2" s="10"/>
      <c r="G2" s="10"/>
      <c r="H2" s="10"/>
      <c r="I2" s="10"/>
      <c r="J2" s="10"/>
      <c r="K2" s="10"/>
      <c r="L2" s="10"/>
      <c r="M2" s="10"/>
      <c r="N2" s="10"/>
      <c r="O2" s="10"/>
      <c r="P2" s="10"/>
      <c r="Q2" s="10"/>
      <c r="R2" s="10"/>
      <c r="S2" s="10"/>
      <c r="T2" s="10"/>
      <c r="U2" s="10"/>
    </row>
    <row r="3" spans="1:21" x14ac:dyDescent="0.3">
      <c r="A3" s="10"/>
      <c r="B3" s="10"/>
      <c r="C3" s="10"/>
      <c r="D3" s="10"/>
      <c r="E3" s="10"/>
      <c r="F3" s="10"/>
      <c r="G3" s="10"/>
      <c r="H3" s="10"/>
      <c r="I3" s="10"/>
      <c r="J3" s="10"/>
      <c r="K3" s="10"/>
      <c r="L3" s="10"/>
      <c r="M3" s="10"/>
      <c r="N3" s="10"/>
      <c r="O3" s="10"/>
      <c r="P3" s="10"/>
      <c r="Q3" s="10"/>
      <c r="R3" s="10"/>
      <c r="S3" s="10"/>
      <c r="T3" s="10"/>
      <c r="U3" s="10"/>
    </row>
    <row r="4" spans="1:21" x14ac:dyDescent="0.3">
      <c r="A4" s="10"/>
      <c r="B4" s="10"/>
      <c r="C4" s="10"/>
      <c r="D4" s="10"/>
      <c r="E4" s="10"/>
      <c r="F4" s="10"/>
      <c r="G4" s="10"/>
      <c r="H4" s="10"/>
      <c r="I4" s="10"/>
      <c r="J4" s="10"/>
      <c r="K4" s="10"/>
      <c r="L4" s="10"/>
      <c r="M4" s="10"/>
      <c r="N4" s="10"/>
      <c r="O4" s="10"/>
      <c r="P4" s="10"/>
      <c r="Q4" s="10"/>
      <c r="R4" s="10"/>
      <c r="S4" s="10"/>
      <c r="T4" s="10"/>
      <c r="U4" s="10"/>
    </row>
    <row r="5" spans="1:21" x14ac:dyDescent="0.3">
      <c r="A5" s="10"/>
      <c r="B5" s="10"/>
      <c r="C5" s="10"/>
      <c r="D5" s="10"/>
      <c r="E5" s="10"/>
      <c r="F5" s="10"/>
      <c r="G5" s="10"/>
      <c r="H5" s="10"/>
      <c r="I5" s="10"/>
      <c r="J5" s="10"/>
      <c r="K5" s="10"/>
      <c r="L5" s="10"/>
      <c r="M5" s="10"/>
      <c r="N5" s="10"/>
      <c r="O5" s="10"/>
      <c r="P5" s="10"/>
      <c r="Q5" s="10"/>
      <c r="R5" s="10"/>
      <c r="S5" s="10"/>
      <c r="T5" s="10"/>
      <c r="U5" s="10"/>
    </row>
    <row r="6" spans="1:21" x14ac:dyDescent="0.3">
      <c r="A6" s="10"/>
      <c r="B6" s="10"/>
      <c r="C6" s="10"/>
      <c r="D6" s="10"/>
      <c r="E6" s="10"/>
      <c r="F6" s="10"/>
      <c r="G6" s="10"/>
      <c r="H6" s="10"/>
      <c r="I6" s="10"/>
      <c r="J6" s="10"/>
      <c r="K6" s="10"/>
      <c r="L6" s="10"/>
      <c r="M6" s="10"/>
      <c r="N6" s="10"/>
      <c r="O6" s="10"/>
      <c r="P6" s="10"/>
      <c r="Q6" s="10"/>
      <c r="R6" s="10"/>
      <c r="S6" s="10"/>
      <c r="T6" s="10"/>
      <c r="U6" s="10"/>
    </row>
  </sheetData>
  <mergeCells count="1">
    <mergeCell ref="A1:U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C84" zoomScale="66" workbookViewId="0">
      <selection activeCell="D1" sqref="D1"/>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3" customWidth="1"/>
    <col min="11" max="11" width="23.5546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pivot1</vt:lpstr>
      <vt:lpstr>pivot2</vt:lpstr>
      <vt:lpstr>pivot3</vt:lpstr>
      <vt:lpstr>pivot4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Kandukuri Stephen Paul</cp:lastModifiedBy>
  <dcterms:created xsi:type="dcterms:W3CDTF">2015-06-05T18:17:20Z</dcterms:created>
  <dcterms:modified xsi:type="dcterms:W3CDTF">2026-08-21T11:56:40Z</dcterms:modified>
</cp:coreProperties>
</file>