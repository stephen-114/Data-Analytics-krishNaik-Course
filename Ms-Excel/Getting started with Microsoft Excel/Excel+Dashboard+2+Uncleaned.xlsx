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ytics-KrishNaik Course\Ms-Excel\"/>
    </mc:Choice>
  </mc:AlternateContent>
  <xr:revisionPtr revIDLastSave="0" documentId="13_ncr:1_{6F7F57C1-5628-4205-A641-9C4C3162C61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Production Dataset" sheetId="1" r:id="rId1"/>
    <sheet name="Sheet1" sheetId="2" r:id="rId2"/>
  </sheets>
  <definedNames>
    <definedName name="_xlnm._FilterDatabase" localSheetId="0" hidden="1">'Production Dataset'!$A$1:$H$121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7" i="1" l="1"/>
  <c r="K75" i="1"/>
  <c r="K31" i="1"/>
  <c r="K47" i="1"/>
  <c r="K36" i="1"/>
  <c r="K5" i="1"/>
  <c r="K102" i="1"/>
  <c r="K18" i="1"/>
  <c r="K54" i="1"/>
  <c r="K77" i="1"/>
  <c r="K10" i="1"/>
  <c r="K41" i="1"/>
  <c r="K48" i="1"/>
  <c r="K37" i="1"/>
  <c r="K116" i="1"/>
  <c r="K71" i="1"/>
  <c r="K115" i="1"/>
  <c r="K51" i="1"/>
  <c r="K26" i="1"/>
  <c r="K117" i="1"/>
  <c r="K105" i="1"/>
  <c r="K68" i="1"/>
  <c r="K35" i="1"/>
  <c r="K44" i="1"/>
  <c r="K21" i="1"/>
  <c r="K84" i="1"/>
  <c r="K110" i="1"/>
  <c r="K109" i="1"/>
  <c r="K119" i="1"/>
  <c r="K104" i="1"/>
  <c r="K94" i="1"/>
  <c r="K99" i="1"/>
  <c r="K62" i="1"/>
  <c r="K29" i="1"/>
  <c r="K101" i="1"/>
  <c r="K91" i="1"/>
  <c r="K59" i="1"/>
  <c r="K98" i="1"/>
  <c r="K23" i="1"/>
  <c r="K58" i="1"/>
  <c r="K25" i="1"/>
  <c r="K9" i="1"/>
  <c r="K22" i="1"/>
  <c r="K120" i="1"/>
  <c r="K89" i="1"/>
  <c r="K87" i="1"/>
  <c r="K86" i="1"/>
  <c r="K17" i="1"/>
  <c r="K93" i="1"/>
  <c r="K88" i="1"/>
  <c r="K82" i="1"/>
  <c r="K12" i="1"/>
  <c r="K30" i="1"/>
  <c r="K97" i="1"/>
  <c r="K90" i="1"/>
  <c r="K69" i="1"/>
  <c r="K72" i="1"/>
  <c r="K50" i="1"/>
  <c r="K7" i="1"/>
  <c r="K81" i="1"/>
  <c r="K63" i="1"/>
  <c r="K106" i="1"/>
  <c r="K53" i="1"/>
  <c r="K73" i="1"/>
  <c r="K76" i="1"/>
  <c r="K121" i="1"/>
  <c r="K52" i="1"/>
  <c r="K85" i="1"/>
  <c r="K114" i="1"/>
  <c r="K33" i="1"/>
  <c r="K61" i="1"/>
  <c r="K118" i="1"/>
  <c r="K38" i="1"/>
  <c r="K66" i="1"/>
  <c r="K2" i="1"/>
  <c r="K19" i="1"/>
  <c r="K111" i="1"/>
  <c r="K67" i="1"/>
  <c r="K107" i="1"/>
  <c r="K16" i="1"/>
  <c r="K42" i="1"/>
  <c r="K13" i="1"/>
  <c r="K108" i="1"/>
  <c r="K3" i="1"/>
  <c r="K34" i="1"/>
  <c r="K43" i="1"/>
  <c r="K95" i="1"/>
  <c r="K65" i="1"/>
  <c r="K92" i="1"/>
  <c r="K6" i="1"/>
  <c r="K45" i="1"/>
  <c r="K60" i="1"/>
  <c r="K83" i="1"/>
  <c r="K46" i="1"/>
  <c r="K100" i="1"/>
  <c r="K15" i="1"/>
  <c r="K39" i="1"/>
  <c r="K20" i="1"/>
  <c r="K79" i="1"/>
  <c r="K14" i="1"/>
  <c r="K8" i="1"/>
  <c r="K78" i="1"/>
  <c r="K40" i="1"/>
  <c r="K103" i="1"/>
  <c r="K112" i="1"/>
  <c r="K4" i="1"/>
  <c r="K74" i="1"/>
  <c r="K11" i="1"/>
  <c r="K55" i="1"/>
  <c r="K64" i="1"/>
  <c r="K28" i="1"/>
  <c r="K24" i="1"/>
  <c r="K96" i="1"/>
  <c r="K113" i="1"/>
  <c r="K27" i="1"/>
  <c r="K70" i="1"/>
  <c r="K32" i="1"/>
  <c r="K80" i="1"/>
  <c r="K56" i="1"/>
  <c r="K49" i="1"/>
  <c r="B2" i="2"/>
  <c r="B3" i="2"/>
  <c r="B4" i="2"/>
  <c r="B5" i="2"/>
  <c r="B6" i="2"/>
  <c r="B7" i="2"/>
  <c r="B8" i="2"/>
  <c r="B9" i="2"/>
  <c r="B10" i="2"/>
  <c r="B1" i="2"/>
</calcChain>
</file>

<file path=xl/sharedStrings.xml><?xml version="1.0" encoding="utf-8"?>
<sst xmlns="http://schemas.openxmlformats.org/spreadsheetml/2006/main" count="501" uniqueCount="32">
  <si>
    <t>ProductionID</t>
  </si>
  <si>
    <t>ProductionDate</t>
  </si>
  <si>
    <t>Region</t>
  </si>
  <si>
    <t>Manager</t>
  </si>
  <si>
    <t>ProductType</t>
  </si>
  <si>
    <t>UnitsProduced</t>
  </si>
  <si>
    <t>TotalCost</t>
  </si>
  <si>
    <t>Gender</t>
  </si>
  <si>
    <t>South</t>
  </si>
  <si>
    <t>John Doe</t>
  </si>
  <si>
    <t>Automobiles</t>
  </si>
  <si>
    <t>Female</t>
  </si>
  <si>
    <t>West</t>
  </si>
  <si>
    <t>Laura Black</t>
  </si>
  <si>
    <t>Furniture</t>
  </si>
  <si>
    <t>North</t>
  </si>
  <si>
    <t>Sarah Lee</t>
  </si>
  <si>
    <t>Machinery</t>
  </si>
  <si>
    <t>Male</t>
  </si>
  <si>
    <t>Mike Brown</t>
  </si>
  <si>
    <t>Jane Smith</t>
  </si>
  <si>
    <t>Andrew Blue</t>
  </si>
  <si>
    <t>David White</t>
  </si>
  <si>
    <t>Electronics</t>
  </si>
  <si>
    <t>Nancy Grey</t>
  </si>
  <si>
    <t>Emily Davis</t>
  </si>
  <si>
    <t>Chris Green</t>
  </si>
  <si>
    <t>East</t>
  </si>
  <si>
    <t>Unknown</t>
  </si>
  <si>
    <t>True Age</t>
  </si>
  <si>
    <t>Age Groups</t>
  </si>
  <si>
    <t>Production per cost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</si>
</sst>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2" borderId="1" xfId="0" applyNumberFormat="1" applyFont="1" applyFill="1" applyBorder="1"/>
    <xf numFmtId="0" fontId="0" fillId="2" borderId="1" xfId="0" applyFont="1" applyFill="1" applyBorder="1"/>
    <xf numFmtId="14" fontId="0" fillId="0" borderId="1" xfId="0" applyNumberFormat="1" applyFont="1" applyBorder="1"/>
    <xf numFmtId="0" fontId="0" fillId="0" borderId="1" xfId="0" applyFont="1" applyBorder="1"/>
    <xf numFmtId="0" fontId="1" fillId="3" borderId="0" xfId="0" applyFont="1" applyFill="1" applyBorder="1"/>
    <xf numFmtId="0" fontId="1" fillId="3" borderId="0" xfId="0" applyFont="1" applyFill="1"/>
    <xf numFmtId="1" fontId="0" fillId="0" borderId="0" xfId="0" applyNumberFormat="1" applyFont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1" defaultTableStyle="TableStyleMedium2" defaultPivotStyle="PivotStyleLight16">
    <tableStyle name="Invisible" pivot="0" table="0" count="0" xr9:uid="{6B0637D6-0878-489C-874E-DE89E9DB7CED}"/>
  </tableStyles>
  <colors>
    <mruColors>
      <color rgb="FFFFCC99"/>
      <color rgb="FFCCFFCC"/>
      <color rgb="FFFFCC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F04EBB-E62C-4BCA-B4CF-9C75FA9EBC16}" name="Table2" displayName="Table2" ref="A1:K121" totalsRowShown="0" headerRowDxfId="1" dataDxfId="2" tableBorderDxfId="13">
  <autoFilter ref="A1:K121" xr:uid="{9FF04EBB-E62C-4BCA-B4CF-9C75FA9EBC16}"/>
  <sortState xmlns:xlrd2="http://schemas.microsoft.com/office/spreadsheetml/2017/richdata2" ref="A2:K121">
    <sortCondition ref="A1:A121"/>
  </sortState>
  <tableColumns count="11">
    <tableColumn id="1" xr3:uid="{B2BF60BA-2B7D-4B32-9AE1-54CD04375660}" name="ProductionID" dataDxfId="12"/>
    <tableColumn id="2" xr3:uid="{610B745D-1A08-461D-94FA-D55DAEF278C9}" name="ProductionDate" dataDxfId="11"/>
    <tableColumn id="3" xr3:uid="{4CFA967C-D307-479D-9DBF-F25BCFFD2AED}" name="Region" dataDxfId="10"/>
    <tableColumn id="4" xr3:uid="{3ACCE00A-6EBB-44FF-AB8B-ECDF110CDCF9}" name="Manager" dataDxfId="9"/>
    <tableColumn id="5" xr3:uid="{811AB249-2EEF-44B5-86AC-A679882DC6F0}" name="ProductType" dataDxfId="8"/>
    <tableColumn id="6" xr3:uid="{97B7C14A-8095-4D2C-8A82-0AC5F494B3B5}" name="UnitsProduced" dataDxfId="7"/>
    <tableColumn id="7" xr3:uid="{4679D9E0-75D8-4D8F-9BAF-9492C9DBC670}" name="TotalCost" dataDxfId="6"/>
    <tableColumn id="8" xr3:uid="{67A14CA3-144F-43A4-8F35-BD661A7CDAF1}" name="Gender" dataDxfId="5"/>
    <tableColumn id="9" xr3:uid="{B9091795-6B0A-4436-9C58-9172B2CD326D}" name="True Age" dataDxfId="4"/>
    <tableColumn id="10" xr3:uid="{604877DD-1B0E-4D29-A737-9B1F336FAF3E}" name="Age Groups" dataDxfId="3"/>
    <tableColumn id="11" xr3:uid="{53429ECE-52DD-4EAB-B503-65813F64D1F8}" name="Production per cost unit" dataDxfId="0">
      <calculatedColumnFormula>G2/Table2[[#This Row],[UnitsProduced]]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topLeftCell="F1" zoomScale="84" workbookViewId="0">
      <selection activeCell="K1" sqref="K1"/>
    </sheetView>
  </sheetViews>
  <sheetFormatPr defaultRowHeight="14.4" x14ac:dyDescent="0.3"/>
  <cols>
    <col min="1" max="1" width="15.77734375" customWidth="1"/>
    <col min="2" max="2" width="18.88671875" customWidth="1"/>
    <col min="3" max="3" width="14.109375" customWidth="1"/>
    <col min="4" max="4" width="16.5546875" customWidth="1"/>
    <col min="5" max="5" width="16.21875" customWidth="1"/>
    <col min="6" max="6" width="16.5546875" customWidth="1"/>
    <col min="7" max="7" width="16" customWidth="1"/>
    <col min="8" max="8" width="19" customWidth="1"/>
    <col min="9" max="9" width="16.77734375" customWidth="1"/>
    <col min="10" max="10" width="12.44140625" customWidth="1"/>
    <col min="11" max="11" width="25.5546875" customWidth="1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29</v>
      </c>
      <c r="J1" s="5" t="s">
        <v>30</v>
      </c>
      <c r="K1" s="6" t="s">
        <v>31</v>
      </c>
    </row>
    <row r="2" spans="1:11" x14ac:dyDescent="0.3">
      <c r="A2" s="4">
        <v>1</v>
      </c>
      <c r="B2" s="3">
        <v>45380</v>
      </c>
      <c r="C2" s="4" t="s">
        <v>8</v>
      </c>
      <c r="D2" s="4" t="s">
        <v>9</v>
      </c>
      <c r="E2" s="4" t="s">
        <v>10</v>
      </c>
      <c r="F2" s="4">
        <v>412</v>
      </c>
      <c r="G2" s="4">
        <v>22288</v>
      </c>
      <c r="H2" s="4" t="s">
        <v>11</v>
      </c>
      <c r="I2" s="4">
        <v>25</v>
      </c>
      <c r="J2" s="4"/>
      <c r="K2" s="7">
        <f>G2/Table2[[#This Row],[UnitsProduced]]</f>
        <v>54.097087378640779</v>
      </c>
    </row>
    <row r="3" spans="1:11" x14ac:dyDescent="0.3">
      <c r="A3" s="2">
        <v>2</v>
      </c>
      <c r="B3" s="1">
        <v>45420</v>
      </c>
      <c r="C3" s="2" t="s">
        <v>12</v>
      </c>
      <c r="D3" s="2" t="s">
        <v>13</v>
      </c>
      <c r="E3" s="2" t="s">
        <v>14</v>
      </c>
      <c r="F3" s="2">
        <v>430</v>
      </c>
      <c r="G3" s="2">
        <v>66500</v>
      </c>
      <c r="H3" s="2" t="s">
        <v>11</v>
      </c>
      <c r="I3" s="2">
        <v>52</v>
      </c>
      <c r="J3" s="2"/>
      <c r="K3" s="7">
        <f>G3/Table2[[#This Row],[UnitsProduced]]</f>
        <v>154.65116279069767</v>
      </c>
    </row>
    <row r="4" spans="1:11" x14ac:dyDescent="0.3">
      <c r="A4" s="2">
        <v>3</v>
      </c>
      <c r="B4" s="1">
        <v>45504</v>
      </c>
      <c r="C4" s="2" t="s">
        <v>15</v>
      </c>
      <c r="D4" s="2" t="s">
        <v>16</v>
      </c>
      <c r="E4" s="2" t="s">
        <v>17</v>
      </c>
      <c r="F4" s="2">
        <v>478</v>
      </c>
      <c r="G4" s="2">
        <v>76076</v>
      </c>
      <c r="H4" s="2" t="s">
        <v>18</v>
      </c>
      <c r="I4" s="2">
        <v>36</v>
      </c>
      <c r="J4" s="2"/>
      <c r="K4" s="7">
        <f>G4/Table2[[#This Row],[UnitsProduced]]</f>
        <v>159.15481171548117</v>
      </c>
    </row>
    <row r="5" spans="1:11" x14ac:dyDescent="0.3">
      <c r="A5" s="2">
        <v>4</v>
      </c>
      <c r="B5" s="1">
        <v>45214</v>
      </c>
      <c r="C5" s="2" t="s">
        <v>12</v>
      </c>
      <c r="D5" s="2" t="s">
        <v>19</v>
      </c>
      <c r="E5" s="2" t="s">
        <v>17</v>
      </c>
      <c r="F5" s="2">
        <v>459</v>
      </c>
      <c r="G5" s="2">
        <v>17069</v>
      </c>
      <c r="H5" s="2" t="s">
        <v>28</v>
      </c>
      <c r="I5" s="2">
        <v>57</v>
      </c>
      <c r="J5" s="2"/>
      <c r="K5" s="7">
        <f>G5/Table2[[#This Row],[UnitsProduced]]</f>
        <v>37.187363834422655</v>
      </c>
    </row>
    <row r="6" spans="1:11" x14ac:dyDescent="0.3">
      <c r="A6" s="2">
        <v>5</v>
      </c>
      <c r="B6" s="1">
        <v>45449</v>
      </c>
      <c r="C6" s="2" t="s">
        <v>8</v>
      </c>
      <c r="D6" s="2" t="s">
        <v>20</v>
      </c>
      <c r="E6" s="2" t="s">
        <v>17</v>
      </c>
      <c r="F6" s="2">
        <v>178</v>
      </c>
      <c r="G6" s="2">
        <v>41349</v>
      </c>
      <c r="H6" s="2" t="s">
        <v>18</v>
      </c>
      <c r="I6" s="2">
        <v>26</v>
      </c>
      <c r="J6" s="2"/>
      <c r="K6" s="7">
        <f>G6/Table2[[#This Row],[UnitsProduced]]</f>
        <v>232.29775280898878</v>
      </c>
    </row>
    <row r="7" spans="1:11" x14ac:dyDescent="0.3">
      <c r="A7" s="4">
        <v>6</v>
      </c>
      <c r="B7" s="3">
        <v>45350</v>
      </c>
      <c r="C7" s="4" t="s">
        <v>12</v>
      </c>
      <c r="D7" s="4" t="s">
        <v>20</v>
      </c>
      <c r="E7" s="4" t="s">
        <v>17</v>
      </c>
      <c r="F7" s="4">
        <v>401</v>
      </c>
      <c r="G7" s="4">
        <v>19691</v>
      </c>
      <c r="H7" s="4" t="s">
        <v>18</v>
      </c>
      <c r="I7" s="4">
        <v>26</v>
      </c>
      <c r="J7" s="4"/>
      <c r="K7" s="7">
        <f>G7/Table2[[#This Row],[UnitsProduced]]</f>
        <v>49.104738154613464</v>
      </c>
    </row>
    <row r="8" spans="1:11" x14ac:dyDescent="0.3">
      <c r="A8" s="4">
        <v>7</v>
      </c>
      <c r="B8" s="3">
        <v>45472</v>
      </c>
      <c r="C8" s="4" t="s">
        <v>12</v>
      </c>
      <c r="D8" s="4" t="s">
        <v>21</v>
      </c>
      <c r="E8" s="4" t="s">
        <v>17</v>
      </c>
      <c r="F8" s="4">
        <v>68</v>
      </c>
      <c r="G8" s="4">
        <v>11696</v>
      </c>
      <c r="H8" s="4" t="s">
        <v>18</v>
      </c>
      <c r="I8" s="4">
        <v>28</v>
      </c>
      <c r="J8" s="4"/>
      <c r="K8" s="7">
        <f>G8/Table2[[#This Row],[UnitsProduced]]</f>
        <v>172</v>
      </c>
    </row>
    <row r="9" spans="1:11" x14ac:dyDescent="0.3">
      <c r="A9" s="2">
        <v>8</v>
      </c>
      <c r="B9" s="1">
        <v>45299</v>
      </c>
      <c r="C9" s="2" t="s">
        <v>12</v>
      </c>
      <c r="D9" s="2" t="s">
        <v>22</v>
      </c>
      <c r="E9" s="2" t="s">
        <v>23</v>
      </c>
      <c r="F9" s="2">
        <v>447</v>
      </c>
      <c r="G9" s="2">
        <v>52269</v>
      </c>
      <c r="H9" s="2" t="s">
        <v>18</v>
      </c>
      <c r="I9" s="2">
        <v>28</v>
      </c>
      <c r="J9" s="2"/>
      <c r="K9" s="7">
        <f>G9/Table2[[#This Row],[UnitsProduced]]</f>
        <v>116.93288590604027</v>
      </c>
    </row>
    <row r="10" spans="1:11" x14ac:dyDescent="0.3">
      <c r="A10" s="4">
        <v>9</v>
      </c>
      <c r="B10" s="3">
        <v>45217</v>
      </c>
      <c r="C10" s="4" t="s">
        <v>12</v>
      </c>
      <c r="D10" s="4" t="s">
        <v>24</v>
      </c>
      <c r="E10" s="4" t="s">
        <v>23</v>
      </c>
      <c r="F10" s="4">
        <v>55</v>
      </c>
      <c r="G10" s="4">
        <v>25893</v>
      </c>
      <c r="H10" s="4" t="s">
        <v>18</v>
      </c>
      <c r="I10" s="4">
        <v>42</v>
      </c>
      <c r="J10" s="4"/>
      <c r="K10" s="7">
        <f>G10/Table2[[#This Row],[UnitsProduced]]</f>
        <v>470.78181818181821</v>
      </c>
    </row>
    <row r="11" spans="1:11" x14ac:dyDescent="0.3">
      <c r="A11" s="2">
        <v>10</v>
      </c>
      <c r="B11" s="1">
        <v>45508</v>
      </c>
      <c r="C11" s="2" t="s">
        <v>12</v>
      </c>
      <c r="D11" s="2" t="s">
        <v>24</v>
      </c>
      <c r="E11" s="2" t="s">
        <v>10</v>
      </c>
      <c r="F11" s="2">
        <v>396</v>
      </c>
      <c r="G11" s="2">
        <v>38480</v>
      </c>
      <c r="H11" s="2" t="s">
        <v>11</v>
      </c>
      <c r="I11" s="2">
        <v>42</v>
      </c>
      <c r="J11" s="2"/>
      <c r="K11" s="7">
        <f>G11/Table2[[#This Row],[UnitsProduced]]</f>
        <v>97.171717171717177</v>
      </c>
    </row>
    <row r="12" spans="1:11" x14ac:dyDescent="0.3">
      <c r="A12" s="2">
        <v>11</v>
      </c>
      <c r="B12" s="1">
        <v>45335</v>
      </c>
      <c r="C12" s="2" t="s">
        <v>12</v>
      </c>
      <c r="D12" s="2" t="s">
        <v>25</v>
      </c>
      <c r="E12" s="2" t="s">
        <v>17</v>
      </c>
      <c r="F12" s="2">
        <v>494</v>
      </c>
      <c r="G12" s="2">
        <v>46767</v>
      </c>
      <c r="H12" s="2" t="s">
        <v>11</v>
      </c>
      <c r="I12" s="2">
        <v>25</v>
      </c>
      <c r="J12" s="2"/>
      <c r="K12" s="7">
        <f>G12/Table2[[#This Row],[UnitsProduced]]</f>
        <v>94.670040485829958</v>
      </c>
    </row>
    <row r="13" spans="1:11" x14ac:dyDescent="0.3">
      <c r="A13" s="2">
        <v>12</v>
      </c>
      <c r="B13" s="1">
        <v>45410</v>
      </c>
      <c r="C13" s="2" t="s">
        <v>12</v>
      </c>
      <c r="D13" s="2" t="s">
        <v>25</v>
      </c>
      <c r="E13" s="2" t="s">
        <v>10</v>
      </c>
      <c r="F13" s="2">
        <v>462</v>
      </c>
      <c r="G13" s="2">
        <v>26145</v>
      </c>
      <c r="H13" s="2" t="s">
        <v>28</v>
      </c>
      <c r="I13" s="2">
        <v>25</v>
      </c>
      <c r="J13" s="2"/>
      <c r="K13" s="7">
        <f>G13/Table2[[#This Row],[UnitsProduced]]</f>
        <v>56.590909090909093</v>
      </c>
    </row>
    <row r="14" spans="1:11" x14ac:dyDescent="0.3">
      <c r="A14" s="2">
        <v>13</v>
      </c>
      <c r="B14" s="1">
        <v>45472</v>
      </c>
      <c r="C14" s="2" t="s">
        <v>15</v>
      </c>
      <c r="D14" s="2" t="s">
        <v>9</v>
      </c>
      <c r="E14" s="2" t="s">
        <v>23</v>
      </c>
      <c r="F14" s="2">
        <v>435</v>
      </c>
      <c r="G14" s="2">
        <v>64090</v>
      </c>
      <c r="H14" s="2" t="s">
        <v>11</v>
      </c>
      <c r="I14" s="2">
        <v>25</v>
      </c>
      <c r="J14" s="2"/>
      <c r="K14" s="7">
        <f>G14/Table2[[#This Row],[UnitsProduced]]</f>
        <v>147.33333333333334</v>
      </c>
    </row>
    <row r="15" spans="1:11" x14ac:dyDescent="0.3">
      <c r="A15" s="2">
        <v>14</v>
      </c>
      <c r="B15" s="1">
        <v>45465</v>
      </c>
      <c r="C15" s="2" t="s">
        <v>8</v>
      </c>
      <c r="D15" s="2" t="s">
        <v>20</v>
      </c>
      <c r="E15" s="2" t="s">
        <v>10</v>
      </c>
      <c r="F15" s="2">
        <v>332</v>
      </c>
      <c r="G15" s="2">
        <v>679</v>
      </c>
      <c r="H15" s="2" t="s">
        <v>11</v>
      </c>
      <c r="I15" s="2">
        <v>26</v>
      </c>
      <c r="J15" s="2"/>
      <c r="K15" s="7">
        <f>G15/Table2[[#This Row],[UnitsProduced]]</f>
        <v>2.0451807228915664</v>
      </c>
    </row>
    <row r="16" spans="1:11" x14ac:dyDescent="0.3">
      <c r="A16" s="2">
        <v>15</v>
      </c>
      <c r="B16" s="1">
        <v>45398</v>
      </c>
      <c r="C16" s="2" t="s">
        <v>15</v>
      </c>
      <c r="D16" s="2" t="s">
        <v>24</v>
      </c>
      <c r="E16" s="2" t="s">
        <v>10</v>
      </c>
      <c r="F16" s="2">
        <v>383</v>
      </c>
      <c r="G16" s="2">
        <v>39008</v>
      </c>
      <c r="H16" s="2" t="s">
        <v>28</v>
      </c>
      <c r="I16" s="2">
        <v>42</v>
      </c>
      <c r="J16" s="2"/>
      <c r="K16" s="7">
        <f>G16/Table2[[#This Row],[UnitsProduced]]</f>
        <v>101.8485639686684</v>
      </c>
    </row>
    <row r="17" spans="1:11" x14ac:dyDescent="0.3">
      <c r="A17" s="2">
        <v>16</v>
      </c>
      <c r="B17" s="1">
        <v>45318</v>
      </c>
      <c r="C17" s="2" t="s">
        <v>15</v>
      </c>
      <c r="D17" s="2" t="s">
        <v>20</v>
      </c>
      <c r="E17" s="2" t="s">
        <v>14</v>
      </c>
      <c r="F17" s="2">
        <v>193</v>
      </c>
      <c r="G17" s="2">
        <v>18796</v>
      </c>
      <c r="H17" s="2" t="s">
        <v>18</v>
      </c>
      <c r="I17" s="2">
        <v>26</v>
      </c>
      <c r="J17" s="2"/>
      <c r="K17" s="7">
        <f>G17/Table2[[#This Row],[UnitsProduced]]</f>
        <v>97.388601036269435</v>
      </c>
    </row>
    <row r="18" spans="1:11" x14ac:dyDescent="0.3">
      <c r="A18" s="2">
        <v>17</v>
      </c>
      <c r="B18" s="1">
        <v>45215</v>
      </c>
      <c r="C18" s="2" t="s">
        <v>12</v>
      </c>
      <c r="D18" s="2" t="s">
        <v>24</v>
      </c>
      <c r="E18" s="2" t="s">
        <v>17</v>
      </c>
      <c r="F18" s="2">
        <v>240</v>
      </c>
      <c r="G18" s="2">
        <v>65052</v>
      </c>
      <c r="H18" s="2" t="s">
        <v>11</v>
      </c>
      <c r="I18" s="2">
        <v>42</v>
      </c>
      <c r="J18" s="2"/>
      <c r="K18" s="7">
        <f>G18/Table2[[#This Row],[UnitsProduced]]</f>
        <v>271.05</v>
      </c>
    </row>
    <row r="19" spans="1:11" x14ac:dyDescent="0.3">
      <c r="A19" s="2">
        <v>18</v>
      </c>
      <c r="B19" s="1">
        <v>45381</v>
      </c>
      <c r="C19" s="2" t="s">
        <v>12</v>
      </c>
      <c r="D19" s="2" t="s">
        <v>26</v>
      </c>
      <c r="E19" s="2" t="s">
        <v>10</v>
      </c>
      <c r="F19" s="2">
        <v>363</v>
      </c>
      <c r="G19" s="2">
        <v>38232</v>
      </c>
      <c r="H19" s="2" t="s">
        <v>11</v>
      </c>
      <c r="I19" s="2">
        <v>49</v>
      </c>
      <c r="J19" s="2"/>
      <c r="K19" s="7">
        <f>G19/Table2[[#This Row],[UnitsProduced]]</f>
        <v>105.32231404958678</v>
      </c>
    </row>
    <row r="20" spans="1:11" x14ac:dyDescent="0.3">
      <c r="A20" s="2">
        <v>19</v>
      </c>
      <c r="B20" s="1">
        <v>45469</v>
      </c>
      <c r="C20" s="2" t="s">
        <v>12</v>
      </c>
      <c r="D20" s="2" t="s">
        <v>26</v>
      </c>
      <c r="E20" s="2" t="s">
        <v>10</v>
      </c>
      <c r="F20" s="2">
        <v>443</v>
      </c>
      <c r="G20" s="2">
        <v>50652</v>
      </c>
      <c r="H20" s="2" t="s">
        <v>18</v>
      </c>
      <c r="I20" s="2">
        <v>49</v>
      </c>
      <c r="J20" s="2"/>
      <c r="K20" s="7">
        <f>G20/Table2[[#This Row],[UnitsProduced]]</f>
        <v>114.33860045146727</v>
      </c>
    </row>
    <row r="21" spans="1:11" x14ac:dyDescent="0.3">
      <c r="A21" s="4">
        <v>20</v>
      </c>
      <c r="B21" s="3">
        <v>45254</v>
      </c>
      <c r="C21" s="4" t="s">
        <v>12</v>
      </c>
      <c r="D21" s="4" t="s">
        <v>24</v>
      </c>
      <c r="E21" s="4" t="s">
        <v>23</v>
      </c>
      <c r="F21" s="4">
        <v>331</v>
      </c>
      <c r="G21" s="4">
        <v>27140</v>
      </c>
      <c r="H21" s="4" t="s">
        <v>18</v>
      </c>
      <c r="I21" s="4">
        <v>42</v>
      </c>
      <c r="J21" s="4"/>
      <c r="K21" s="7">
        <f>G21/Table2[[#This Row],[UnitsProduced]]</f>
        <v>81.993957703927492</v>
      </c>
    </row>
    <row r="22" spans="1:11" x14ac:dyDescent="0.3">
      <c r="A22" s="4">
        <v>21</v>
      </c>
      <c r="B22" s="3">
        <v>45304</v>
      </c>
      <c r="C22" s="4" t="s">
        <v>8</v>
      </c>
      <c r="D22" s="4" t="s">
        <v>24</v>
      </c>
      <c r="E22" s="4" t="s">
        <v>17</v>
      </c>
      <c r="F22" s="4">
        <v>250</v>
      </c>
      <c r="G22" s="4">
        <v>11385</v>
      </c>
      <c r="H22" s="4" t="s">
        <v>18</v>
      </c>
      <c r="I22" s="4">
        <v>42</v>
      </c>
      <c r="J22" s="4"/>
      <c r="K22" s="7">
        <f>G22/Table2[[#This Row],[UnitsProduced]]</f>
        <v>45.54</v>
      </c>
    </row>
    <row r="23" spans="1:11" x14ac:dyDescent="0.3">
      <c r="A23" s="4">
        <v>22</v>
      </c>
      <c r="B23" s="3">
        <v>45294</v>
      </c>
      <c r="C23" s="4" t="s">
        <v>12</v>
      </c>
      <c r="D23" s="4" t="s">
        <v>26</v>
      </c>
      <c r="E23" s="4" t="s">
        <v>17</v>
      </c>
      <c r="F23" s="4">
        <v>180</v>
      </c>
      <c r="G23" s="4">
        <v>33684</v>
      </c>
      <c r="H23" s="4" t="s">
        <v>11</v>
      </c>
      <c r="I23" s="4">
        <v>49</v>
      </c>
      <c r="J23" s="4"/>
      <c r="K23" s="7">
        <f>G23/Table2[[#This Row],[UnitsProduced]]</f>
        <v>187.13333333333333</v>
      </c>
    </row>
    <row r="24" spans="1:11" x14ac:dyDescent="0.3">
      <c r="A24" s="2">
        <v>23</v>
      </c>
      <c r="B24" s="1">
        <v>45520</v>
      </c>
      <c r="C24" s="2" t="s">
        <v>15</v>
      </c>
      <c r="D24" s="2" t="s">
        <v>21</v>
      </c>
      <c r="E24" s="2" t="s">
        <v>10</v>
      </c>
      <c r="F24" s="2">
        <v>90</v>
      </c>
      <c r="G24" s="2">
        <v>42328</v>
      </c>
      <c r="H24" s="2" t="s">
        <v>11</v>
      </c>
      <c r="I24" s="2">
        <v>28</v>
      </c>
      <c r="J24" s="2"/>
      <c r="K24" s="7">
        <f>G24/Table2[[#This Row],[UnitsProduced]]</f>
        <v>470.31111111111113</v>
      </c>
    </row>
    <row r="25" spans="1:11" x14ac:dyDescent="0.3">
      <c r="A25" s="4">
        <v>24</v>
      </c>
      <c r="B25" s="3">
        <v>45296</v>
      </c>
      <c r="C25" s="4" t="s">
        <v>8</v>
      </c>
      <c r="D25" s="4" t="s">
        <v>19</v>
      </c>
      <c r="E25" s="4" t="s">
        <v>17</v>
      </c>
      <c r="F25" s="4">
        <v>458</v>
      </c>
      <c r="G25" s="4">
        <v>42873</v>
      </c>
      <c r="H25" s="4" t="s">
        <v>11</v>
      </c>
      <c r="I25" s="4">
        <v>57</v>
      </c>
      <c r="J25" s="4"/>
      <c r="K25" s="7">
        <f>G25/Table2[[#This Row],[UnitsProduced]]</f>
        <v>93.609170305676855</v>
      </c>
    </row>
    <row r="26" spans="1:11" x14ac:dyDescent="0.3">
      <c r="A26" s="4">
        <v>25</v>
      </c>
      <c r="B26" s="3">
        <v>45235</v>
      </c>
      <c r="C26" s="4" t="s">
        <v>12</v>
      </c>
      <c r="D26" s="4" t="s">
        <v>20</v>
      </c>
      <c r="E26" s="4" t="s">
        <v>10</v>
      </c>
      <c r="F26" s="4">
        <v>439</v>
      </c>
      <c r="G26" s="4">
        <v>31392</v>
      </c>
      <c r="H26" s="4" t="s">
        <v>18</v>
      </c>
      <c r="I26" s="4">
        <v>26</v>
      </c>
      <c r="J26" s="4"/>
      <c r="K26" s="7">
        <f>G26/Table2[[#This Row],[UnitsProduced]]</f>
        <v>71.50797266514806</v>
      </c>
    </row>
    <row r="27" spans="1:11" x14ac:dyDescent="0.3">
      <c r="A27" s="4">
        <v>26</v>
      </c>
      <c r="B27" s="3">
        <v>45530</v>
      </c>
      <c r="C27" s="4" t="s">
        <v>12</v>
      </c>
      <c r="D27" s="4" t="s">
        <v>24</v>
      </c>
      <c r="E27" s="4" t="s">
        <v>10</v>
      </c>
      <c r="F27" s="4">
        <v>406</v>
      </c>
      <c r="G27" s="4">
        <v>47880</v>
      </c>
      <c r="H27" s="4" t="s">
        <v>18</v>
      </c>
      <c r="I27" s="4">
        <v>42</v>
      </c>
      <c r="J27" s="4"/>
      <c r="K27" s="7">
        <f>G27/Table2[[#This Row],[UnitsProduced]]</f>
        <v>117.93103448275862</v>
      </c>
    </row>
    <row r="28" spans="1:11" x14ac:dyDescent="0.3">
      <c r="A28" s="4">
        <v>27</v>
      </c>
      <c r="B28" s="3">
        <v>45511</v>
      </c>
      <c r="C28" s="4" t="s">
        <v>12</v>
      </c>
      <c r="D28" s="4" t="s">
        <v>24</v>
      </c>
      <c r="E28" s="4" t="s">
        <v>23</v>
      </c>
      <c r="F28" s="4">
        <v>422</v>
      </c>
      <c r="G28" s="4">
        <v>13490</v>
      </c>
      <c r="H28" s="4" t="s">
        <v>11</v>
      </c>
      <c r="I28" s="4">
        <v>42</v>
      </c>
      <c r="J28" s="4"/>
      <c r="K28" s="7">
        <f>G28/Table2[[#This Row],[UnitsProduced]]</f>
        <v>31.966824644549764</v>
      </c>
    </row>
    <row r="29" spans="1:11" x14ac:dyDescent="0.3">
      <c r="A29" s="2">
        <v>28</v>
      </c>
      <c r="B29" s="1">
        <v>45286</v>
      </c>
      <c r="C29" s="2" t="s">
        <v>12</v>
      </c>
      <c r="D29" s="2" t="s">
        <v>19</v>
      </c>
      <c r="E29" s="2" t="s">
        <v>10</v>
      </c>
      <c r="F29" s="2">
        <v>444</v>
      </c>
      <c r="G29" s="2">
        <v>7272</v>
      </c>
      <c r="H29" s="2" t="s">
        <v>18</v>
      </c>
      <c r="I29" s="2">
        <v>57</v>
      </c>
      <c r="J29" s="2"/>
      <c r="K29" s="7">
        <f>G29/Table2[[#This Row],[UnitsProduced]]</f>
        <v>16.378378378378379</v>
      </c>
    </row>
    <row r="30" spans="1:11" x14ac:dyDescent="0.3">
      <c r="A30" s="4">
        <v>29</v>
      </c>
      <c r="B30" s="3">
        <v>45339</v>
      </c>
      <c r="C30" s="4" t="s">
        <v>12</v>
      </c>
      <c r="D30" s="4" t="s">
        <v>24</v>
      </c>
      <c r="E30" s="4" t="s">
        <v>23</v>
      </c>
      <c r="F30" s="4">
        <v>499</v>
      </c>
      <c r="G30" s="4">
        <v>48316</v>
      </c>
      <c r="H30" s="4" t="s">
        <v>11</v>
      </c>
      <c r="I30" s="4">
        <v>42</v>
      </c>
      <c r="J30" s="4"/>
      <c r="K30" s="7">
        <f>G30/Table2[[#This Row],[UnitsProduced]]</f>
        <v>96.825651302605209</v>
      </c>
    </row>
    <row r="31" spans="1:11" x14ac:dyDescent="0.3">
      <c r="A31" s="4">
        <v>30</v>
      </c>
      <c r="B31" s="3">
        <v>45200</v>
      </c>
      <c r="C31" s="4" t="s">
        <v>12</v>
      </c>
      <c r="D31" s="4" t="s">
        <v>25</v>
      </c>
      <c r="E31" s="4" t="s">
        <v>10</v>
      </c>
      <c r="F31" s="4">
        <v>290</v>
      </c>
      <c r="G31" s="4">
        <v>15132</v>
      </c>
      <c r="H31" s="4" t="s">
        <v>28</v>
      </c>
      <c r="I31" s="4">
        <v>25</v>
      </c>
      <c r="J31" s="4"/>
      <c r="K31" s="7">
        <f>G31/Table2[[#This Row],[UnitsProduced]]</f>
        <v>52.179310344827584</v>
      </c>
    </row>
    <row r="32" spans="1:11" x14ac:dyDescent="0.3">
      <c r="A32" s="4">
        <v>31</v>
      </c>
      <c r="B32" s="3">
        <v>45543</v>
      </c>
      <c r="C32" s="4" t="s">
        <v>15</v>
      </c>
      <c r="D32" s="4" t="s">
        <v>24</v>
      </c>
      <c r="E32" s="4" t="s">
        <v>23</v>
      </c>
      <c r="F32" s="4">
        <v>369</v>
      </c>
      <c r="G32" s="4">
        <v>5246</v>
      </c>
      <c r="H32" s="4" t="s">
        <v>18</v>
      </c>
      <c r="I32" s="4">
        <v>42</v>
      </c>
      <c r="J32" s="4"/>
      <c r="K32" s="7">
        <f>G32/Table2[[#This Row],[UnitsProduced]]</f>
        <v>14.21680216802168</v>
      </c>
    </row>
    <row r="33" spans="1:11" x14ac:dyDescent="0.3">
      <c r="A33" s="2">
        <v>32</v>
      </c>
      <c r="B33" s="1">
        <v>45371</v>
      </c>
      <c r="C33" s="2" t="s">
        <v>27</v>
      </c>
      <c r="D33" s="2" t="s">
        <v>24</v>
      </c>
      <c r="E33" s="2" t="s">
        <v>10</v>
      </c>
      <c r="F33" s="2">
        <v>389</v>
      </c>
      <c r="G33" s="2">
        <v>37744</v>
      </c>
      <c r="H33" s="2" t="s">
        <v>18</v>
      </c>
      <c r="I33" s="2">
        <v>42</v>
      </c>
      <c r="J33" s="2"/>
      <c r="K33" s="7">
        <f>G33/Table2[[#This Row],[UnitsProduced]]</f>
        <v>97.028277634961441</v>
      </c>
    </row>
    <row r="34" spans="1:11" x14ac:dyDescent="0.3">
      <c r="A34" s="4">
        <v>33</v>
      </c>
      <c r="B34" s="3">
        <v>45422</v>
      </c>
      <c r="C34" s="4" t="s">
        <v>27</v>
      </c>
      <c r="D34" s="4" t="s">
        <v>25</v>
      </c>
      <c r="E34" s="4" t="s">
        <v>23</v>
      </c>
      <c r="F34" s="4">
        <v>511</v>
      </c>
      <c r="G34" s="4">
        <v>679</v>
      </c>
      <c r="H34" s="4" t="s">
        <v>11</v>
      </c>
      <c r="I34" s="4">
        <v>25</v>
      </c>
      <c r="J34" s="4"/>
      <c r="K34" s="7">
        <f>G34/Table2[[#This Row],[UnitsProduced]]</f>
        <v>1.3287671232876712</v>
      </c>
    </row>
    <row r="35" spans="1:11" x14ac:dyDescent="0.3">
      <c r="A35" s="4">
        <v>34</v>
      </c>
      <c r="B35" s="3">
        <v>45251</v>
      </c>
      <c r="C35" s="4" t="s">
        <v>12</v>
      </c>
      <c r="D35" s="4" t="s">
        <v>22</v>
      </c>
      <c r="E35" s="4" t="s">
        <v>17</v>
      </c>
      <c r="F35" s="4">
        <v>333</v>
      </c>
      <c r="G35" s="4">
        <v>48000</v>
      </c>
      <c r="H35" s="4" t="s">
        <v>11</v>
      </c>
      <c r="I35" s="4">
        <v>28</v>
      </c>
      <c r="J35" s="4"/>
      <c r="K35" s="7">
        <f>G35/Table2[[#This Row],[UnitsProduced]]</f>
        <v>144.14414414414415</v>
      </c>
    </row>
    <row r="36" spans="1:11" x14ac:dyDescent="0.3">
      <c r="A36" s="4">
        <v>35</v>
      </c>
      <c r="B36" s="3">
        <v>45214</v>
      </c>
      <c r="C36" s="4" t="s">
        <v>12</v>
      </c>
      <c r="D36" s="4" t="s">
        <v>13</v>
      </c>
      <c r="E36" s="4" t="s">
        <v>17</v>
      </c>
      <c r="F36" s="4">
        <v>260</v>
      </c>
      <c r="G36" s="4">
        <v>34680</v>
      </c>
      <c r="H36" s="4" t="s">
        <v>18</v>
      </c>
      <c r="I36" s="4">
        <v>52</v>
      </c>
      <c r="J36" s="4"/>
      <c r="K36" s="7">
        <f>G36/Table2[[#This Row],[UnitsProduced]]</f>
        <v>133.38461538461539</v>
      </c>
    </row>
    <row r="37" spans="1:11" x14ac:dyDescent="0.3">
      <c r="A37" s="2">
        <v>36</v>
      </c>
      <c r="B37" s="1">
        <v>45230</v>
      </c>
      <c r="C37" s="2" t="s">
        <v>12</v>
      </c>
      <c r="D37" s="2" t="s">
        <v>20</v>
      </c>
      <c r="E37" s="2" t="s">
        <v>17</v>
      </c>
      <c r="F37" s="2">
        <v>460</v>
      </c>
      <c r="G37" s="2">
        <v>50274</v>
      </c>
      <c r="H37" s="2" t="s">
        <v>18</v>
      </c>
      <c r="I37" s="2">
        <v>26</v>
      </c>
      <c r="J37" s="2"/>
      <c r="K37" s="7">
        <f>G37/Table2[[#This Row],[UnitsProduced]]</f>
        <v>109.29130434782608</v>
      </c>
    </row>
    <row r="38" spans="1:11" x14ac:dyDescent="0.3">
      <c r="A38" s="4">
        <v>37</v>
      </c>
      <c r="B38" s="3">
        <v>45377</v>
      </c>
      <c r="C38" s="4" t="s">
        <v>15</v>
      </c>
      <c r="D38" s="4" t="s">
        <v>26</v>
      </c>
      <c r="E38" s="4" t="s">
        <v>10</v>
      </c>
      <c r="F38" s="4">
        <v>145</v>
      </c>
      <c r="G38" s="4">
        <v>43615</v>
      </c>
      <c r="H38" s="4" t="s">
        <v>18</v>
      </c>
      <c r="I38" s="4">
        <v>49</v>
      </c>
      <c r="J38" s="4"/>
      <c r="K38" s="7">
        <f>G38/Table2[[#This Row],[UnitsProduced]]</f>
        <v>300.79310344827587</v>
      </c>
    </row>
    <row r="39" spans="1:11" x14ac:dyDescent="0.3">
      <c r="A39" s="4">
        <v>38</v>
      </c>
      <c r="B39" s="3">
        <v>45467</v>
      </c>
      <c r="C39" s="4" t="s">
        <v>12</v>
      </c>
      <c r="D39" s="4" t="s">
        <v>24</v>
      </c>
      <c r="E39" s="4" t="s">
        <v>23</v>
      </c>
      <c r="F39" s="4">
        <v>115</v>
      </c>
      <c r="G39" s="4">
        <v>14076</v>
      </c>
      <c r="H39" s="4" t="s">
        <v>11</v>
      </c>
      <c r="I39" s="4">
        <v>42</v>
      </c>
      <c r="J39" s="4"/>
      <c r="K39" s="7">
        <f>G39/Table2[[#This Row],[UnitsProduced]]</f>
        <v>122.4</v>
      </c>
    </row>
    <row r="40" spans="1:11" x14ac:dyDescent="0.3">
      <c r="A40" s="4">
        <v>39</v>
      </c>
      <c r="B40" s="3">
        <v>45489</v>
      </c>
      <c r="C40" s="4" t="s">
        <v>15</v>
      </c>
      <c r="D40" s="4" t="s">
        <v>16</v>
      </c>
      <c r="E40" s="4" t="s">
        <v>10</v>
      </c>
      <c r="F40" s="4">
        <v>248</v>
      </c>
      <c r="G40" s="4">
        <v>12870</v>
      </c>
      <c r="H40" s="4" t="s">
        <v>11</v>
      </c>
      <c r="I40" s="4">
        <v>36</v>
      </c>
      <c r="J40" s="4"/>
      <c r="K40" s="7">
        <f>G40/Table2[[#This Row],[UnitsProduced]]</f>
        <v>51.895161290322584</v>
      </c>
    </row>
    <row r="41" spans="1:11" x14ac:dyDescent="0.3">
      <c r="A41" s="2">
        <v>40</v>
      </c>
      <c r="B41" s="1">
        <v>45221</v>
      </c>
      <c r="C41" s="2" t="s">
        <v>27</v>
      </c>
      <c r="D41" s="2" t="s">
        <v>13</v>
      </c>
      <c r="E41" s="2" t="s">
        <v>10</v>
      </c>
      <c r="F41" s="2">
        <v>165</v>
      </c>
      <c r="G41" s="2">
        <v>679</v>
      </c>
      <c r="H41" s="2" t="s">
        <v>18</v>
      </c>
      <c r="I41" s="2">
        <v>52</v>
      </c>
      <c r="J41" s="2"/>
      <c r="K41" s="7">
        <f>G41/Table2[[#This Row],[UnitsProduced]]</f>
        <v>4.1151515151515152</v>
      </c>
    </row>
    <row r="42" spans="1:11" x14ac:dyDescent="0.3">
      <c r="A42" s="4">
        <v>41</v>
      </c>
      <c r="B42" s="3">
        <v>45407</v>
      </c>
      <c r="C42" s="4" t="s">
        <v>12</v>
      </c>
      <c r="D42" s="4" t="s">
        <v>24</v>
      </c>
      <c r="E42" s="4" t="s">
        <v>14</v>
      </c>
      <c r="F42" s="4">
        <v>51</v>
      </c>
      <c r="G42" s="4">
        <v>35280</v>
      </c>
      <c r="H42" s="4" t="s">
        <v>18</v>
      </c>
      <c r="I42" s="4">
        <v>42</v>
      </c>
      <c r="J42" s="4"/>
      <c r="K42" s="7">
        <f>G42/Table2[[#This Row],[UnitsProduced]]</f>
        <v>691.76470588235293</v>
      </c>
    </row>
    <row r="43" spans="1:11" x14ac:dyDescent="0.3">
      <c r="A43" s="2">
        <v>42</v>
      </c>
      <c r="B43" s="1">
        <v>45424</v>
      </c>
      <c r="C43" s="2" t="s">
        <v>15</v>
      </c>
      <c r="D43" s="2" t="s">
        <v>24</v>
      </c>
      <c r="E43" s="2" t="s">
        <v>10</v>
      </c>
      <c r="F43" s="2">
        <v>382</v>
      </c>
      <c r="G43" s="2">
        <v>37490</v>
      </c>
      <c r="H43" s="2" t="s">
        <v>18</v>
      </c>
      <c r="I43" s="2">
        <v>42</v>
      </c>
      <c r="J43" s="2"/>
      <c r="K43" s="7">
        <f>G43/Table2[[#This Row],[UnitsProduced]]</f>
        <v>98.141361256544499</v>
      </c>
    </row>
    <row r="44" spans="1:11" x14ac:dyDescent="0.3">
      <c r="A44" s="2">
        <v>43</v>
      </c>
      <c r="B44" s="1">
        <v>45252</v>
      </c>
      <c r="C44" s="2" t="s">
        <v>15</v>
      </c>
      <c r="D44" s="2" t="s">
        <v>24</v>
      </c>
      <c r="E44" s="2" t="s">
        <v>10</v>
      </c>
      <c r="F44" s="2">
        <v>354</v>
      </c>
      <c r="G44" s="2">
        <v>679</v>
      </c>
      <c r="H44" s="2" t="s">
        <v>18</v>
      </c>
      <c r="I44" s="2">
        <v>42</v>
      </c>
      <c r="J44" s="2"/>
      <c r="K44" s="7">
        <f>G44/Table2[[#This Row],[UnitsProduced]]</f>
        <v>1.9180790960451977</v>
      </c>
    </row>
    <row r="45" spans="1:11" x14ac:dyDescent="0.3">
      <c r="A45" s="4">
        <v>44</v>
      </c>
      <c r="B45" s="3">
        <v>45451</v>
      </c>
      <c r="C45" s="4" t="s">
        <v>27</v>
      </c>
      <c r="D45" s="4" t="s">
        <v>13</v>
      </c>
      <c r="E45" s="4" t="s">
        <v>14</v>
      </c>
      <c r="F45" s="4">
        <v>368</v>
      </c>
      <c r="G45" s="4">
        <v>46068</v>
      </c>
      <c r="H45" s="4" t="s">
        <v>11</v>
      </c>
      <c r="I45" s="4">
        <v>52</v>
      </c>
      <c r="J45" s="4"/>
      <c r="K45" s="7">
        <f>G45/Table2[[#This Row],[UnitsProduced]]</f>
        <v>125.18478260869566</v>
      </c>
    </row>
    <row r="46" spans="1:11" x14ac:dyDescent="0.3">
      <c r="A46" s="2">
        <v>45</v>
      </c>
      <c r="B46" s="1">
        <v>45458</v>
      </c>
      <c r="C46" s="2" t="s">
        <v>12</v>
      </c>
      <c r="D46" s="2" t="s">
        <v>16</v>
      </c>
      <c r="E46" s="2" t="s">
        <v>23</v>
      </c>
      <c r="F46" s="2">
        <v>79</v>
      </c>
      <c r="G46" s="2">
        <v>11078</v>
      </c>
      <c r="H46" s="2" t="s">
        <v>11</v>
      </c>
      <c r="I46" s="2">
        <v>36</v>
      </c>
      <c r="J46" s="2"/>
      <c r="K46" s="7">
        <f>G46/Table2[[#This Row],[UnitsProduced]]</f>
        <v>140.22784810126583</v>
      </c>
    </row>
    <row r="47" spans="1:11" x14ac:dyDescent="0.3">
      <c r="A47" s="2">
        <v>46</v>
      </c>
      <c r="B47" s="1">
        <v>45207</v>
      </c>
      <c r="C47" s="2" t="s">
        <v>12</v>
      </c>
      <c r="D47" s="2" t="s">
        <v>21</v>
      </c>
      <c r="E47" s="2" t="s">
        <v>10</v>
      </c>
      <c r="F47" s="2">
        <v>231</v>
      </c>
      <c r="G47" s="2">
        <v>32045</v>
      </c>
      <c r="H47" s="2" t="s">
        <v>11</v>
      </c>
      <c r="I47" s="2">
        <v>28</v>
      </c>
      <c r="J47" s="2"/>
      <c r="K47" s="7">
        <f>G47/Table2[[#This Row],[UnitsProduced]]</f>
        <v>138.72294372294371</v>
      </c>
    </row>
    <row r="48" spans="1:11" x14ac:dyDescent="0.3">
      <c r="A48" s="4">
        <v>47</v>
      </c>
      <c r="B48" s="3">
        <v>45228</v>
      </c>
      <c r="C48" s="4" t="s">
        <v>27</v>
      </c>
      <c r="D48" s="4" t="s">
        <v>19</v>
      </c>
      <c r="E48" s="4" t="s">
        <v>10</v>
      </c>
      <c r="F48" s="4">
        <v>288</v>
      </c>
      <c r="G48" s="4">
        <v>33284</v>
      </c>
      <c r="H48" s="4" t="s">
        <v>11</v>
      </c>
      <c r="I48" s="4">
        <v>57</v>
      </c>
      <c r="J48" s="4"/>
      <c r="K48" s="7">
        <f>G48/Table2[[#This Row],[UnitsProduced]]</f>
        <v>115.56944444444444</v>
      </c>
    </row>
    <row r="49" spans="1:11" x14ac:dyDescent="0.3">
      <c r="A49" s="2">
        <v>48</v>
      </c>
      <c r="B49" s="1">
        <v>45191</v>
      </c>
      <c r="C49" s="2" t="s">
        <v>15</v>
      </c>
      <c r="D49" s="2" t="s">
        <v>20</v>
      </c>
      <c r="E49" s="2" t="s">
        <v>23</v>
      </c>
      <c r="F49" s="2">
        <v>214</v>
      </c>
      <c r="G49" s="2">
        <v>11954</v>
      </c>
      <c r="H49" s="2" t="s">
        <v>11</v>
      </c>
      <c r="I49" s="2">
        <v>26</v>
      </c>
      <c r="J49" s="2"/>
      <c r="K49" s="7">
        <f>G49/Table2[[#This Row],[UnitsProduced]]</f>
        <v>55.859813084112147</v>
      </c>
    </row>
    <row r="50" spans="1:11" x14ac:dyDescent="0.3">
      <c r="A50" s="2">
        <v>49</v>
      </c>
      <c r="B50" s="1">
        <v>45350</v>
      </c>
      <c r="C50" s="2" t="s">
        <v>8</v>
      </c>
      <c r="D50" s="2" t="s">
        <v>20</v>
      </c>
      <c r="E50" s="2" t="s">
        <v>17</v>
      </c>
      <c r="F50" s="2">
        <v>74</v>
      </c>
      <c r="G50" s="2">
        <v>36708</v>
      </c>
      <c r="H50" s="2" t="s">
        <v>18</v>
      </c>
      <c r="I50" s="2">
        <v>26</v>
      </c>
      <c r="J50" s="2"/>
      <c r="K50" s="7">
        <f>G50/Table2[[#This Row],[UnitsProduced]]</f>
        <v>496.05405405405406</v>
      </c>
    </row>
    <row r="51" spans="1:11" x14ac:dyDescent="0.3">
      <c r="A51" s="2">
        <v>50</v>
      </c>
      <c r="B51" s="1">
        <v>45234</v>
      </c>
      <c r="C51" s="2" t="s">
        <v>15</v>
      </c>
      <c r="D51" s="2" t="s">
        <v>9</v>
      </c>
      <c r="E51" s="2" t="s">
        <v>14</v>
      </c>
      <c r="F51" s="2">
        <v>177</v>
      </c>
      <c r="G51" s="2">
        <v>30600</v>
      </c>
      <c r="H51" s="2" t="s">
        <v>18</v>
      </c>
      <c r="I51" s="2">
        <v>25</v>
      </c>
      <c r="J51" s="2"/>
      <c r="K51" s="7">
        <f>G51/Table2[[#This Row],[UnitsProduced]]</f>
        <v>172.88135593220338</v>
      </c>
    </row>
    <row r="52" spans="1:11" x14ac:dyDescent="0.3">
      <c r="A52" s="4">
        <v>51</v>
      </c>
      <c r="B52" s="3">
        <v>45364</v>
      </c>
      <c r="C52" s="4" t="s">
        <v>8</v>
      </c>
      <c r="D52" s="4" t="s">
        <v>19</v>
      </c>
      <c r="E52" s="4" t="s">
        <v>17</v>
      </c>
      <c r="F52" s="4">
        <v>358</v>
      </c>
      <c r="G52" s="4">
        <v>13568</v>
      </c>
      <c r="H52" s="4" t="s">
        <v>11</v>
      </c>
      <c r="I52" s="4">
        <v>57</v>
      </c>
      <c r="J52" s="4"/>
      <c r="K52" s="7">
        <f>G52/Table2[[#This Row],[UnitsProduced]]</f>
        <v>37.899441340782126</v>
      </c>
    </row>
    <row r="53" spans="1:11" x14ac:dyDescent="0.3">
      <c r="A53" s="4">
        <v>52</v>
      </c>
      <c r="B53" s="3">
        <v>45350</v>
      </c>
      <c r="C53" s="4" t="s">
        <v>8</v>
      </c>
      <c r="D53" s="4" t="s">
        <v>24</v>
      </c>
      <c r="E53" s="4" t="s">
        <v>17</v>
      </c>
      <c r="F53" s="4">
        <v>343</v>
      </c>
      <c r="G53" s="4">
        <v>33344</v>
      </c>
      <c r="H53" s="4" t="s">
        <v>18</v>
      </c>
      <c r="I53" s="4">
        <v>42</v>
      </c>
      <c r="J53" s="4"/>
      <c r="K53" s="7">
        <f>G53/Table2[[#This Row],[UnitsProduced]]</f>
        <v>97.212827988338191</v>
      </c>
    </row>
    <row r="54" spans="1:11" x14ac:dyDescent="0.3">
      <c r="A54" s="4">
        <v>53</v>
      </c>
      <c r="B54" s="3">
        <v>45216</v>
      </c>
      <c r="C54" s="4" t="s">
        <v>27</v>
      </c>
      <c r="D54" s="4" t="s">
        <v>24</v>
      </c>
      <c r="E54" s="4" t="s">
        <v>17</v>
      </c>
      <c r="F54" s="4">
        <v>63</v>
      </c>
      <c r="G54" s="4">
        <v>3960</v>
      </c>
      <c r="H54" s="4" t="s">
        <v>18</v>
      </c>
      <c r="I54" s="4">
        <v>42</v>
      </c>
      <c r="J54" s="4"/>
      <c r="K54" s="7">
        <f>G54/Table2[[#This Row],[UnitsProduced]]</f>
        <v>62.857142857142854</v>
      </c>
    </row>
    <row r="55" spans="1:11" x14ac:dyDescent="0.3">
      <c r="A55" s="4">
        <v>54</v>
      </c>
      <c r="B55" s="3">
        <v>45510</v>
      </c>
      <c r="C55" s="4" t="s">
        <v>12</v>
      </c>
      <c r="D55" s="4" t="s">
        <v>22</v>
      </c>
      <c r="E55" s="4" t="s">
        <v>10</v>
      </c>
      <c r="F55" s="4">
        <v>429</v>
      </c>
      <c r="G55" s="4">
        <v>58208</v>
      </c>
      <c r="H55" s="4" t="s">
        <v>18</v>
      </c>
      <c r="I55" s="4">
        <v>28</v>
      </c>
      <c r="J55" s="4"/>
      <c r="K55" s="7">
        <f>G55/Table2[[#This Row],[UnitsProduced]]</f>
        <v>135.68298368298369</v>
      </c>
    </row>
    <row r="56" spans="1:11" x14ac:dyDescent="0.3">
      <c r="A56" s="4">
        <v>55</v>
      </c>
      <c r="B56" s="3">
        <v>45549</v>
      </c>
      <c r="C56" s="4" t="s">
        <v>8</v>
      </c>
      <c r="D56" s="4" t="s">
        <v>24</v>
      </c>
      <c r="E56" s="4" t="s">
        <v>14</v>
      </c>
      <c r="F56" s="4">
        <v>491</v>
      </c>
      <c r="G56" s="4">
        <v>59458</v>
      </c>
      <c r="H56" s="4" t="s">
        <v>18</v>
      </c>
      <c r="I56" s="4">
        <v>42</v>
      </c>
      <c r="J56" s="4"/>
      <c r="K56" s="7">
        <f>G56/Table2[[#This Row],[UnitsProduced]]</f>
        <v>121.09572301425662</v>
      </c>
    </row>
    <row r="57" spans="1:11" x14ac:dyDescent="0.3">
      <c r="A57" s="4">
        <v>56</v>
      </c>
      <c r="B57" s="3">
        <v>45193</v>
      </c>
      <c r="C57" s="4" t="s">
        <v>12</v>
      </c>
      <c r="D57" s="4" t="s">
        <v>24</v>
      </c>
      <c r="E57" s="4" t="s">
        <v>10</v>
      </c>
      <c r="F57" s="4">
        <v>344</v>
      </c>
      <c r="G57" s="4">
        <v>13872</v>
      </c>
      <c r="H57" s="4" t="s">
        <v>11</v>
      </c>
      <c r="I57" s="4">
        <v>42</v>
      </c>
      <c r="J57" s="4"/>
      <c r="K57" s="7">
        <f>G57/Table2[[#This Row],[UnitsProduced]]</f>
        <v>40.325581395348834</v>
      </c>
    </row>
    <row r="58" spans="1:11" x14ac:dyDescent="0.3">
      <c r="A58" s="2">
        <v>57</v>
      </c>
      <c r="B58" s="1">
        <v>45296</v>
      </c>
      <c r="C58" s="2" t="s">
        <v>12</v>
      </c>
      <c r="D58" s="2" t="s">
        <v>9</v>
      </c>
      <c r="E58" s="2" t="s">
        <v>14</v>
      </c>
      <c r="F58" s="2">
        <v>255</v>
      </c>
      <c r="G58" s="2">
        <v>57706</v>
      </c>
      <c r="H58" s="2" t="s">
        <v>11</v>
      </c>
      <c r="I58" s="2">
        <v>25</v>
      </c>
      <c r="J58" s="2"/>
      <c r="K58" s="7">
        <f>G58/Table2[[#This Row],[UnitsProduced]]</f>
        <v>226.29803921568629</v>
      </c>
    </row>
    <row r="59" spans="1:11" x14ac:dyDescent="0.3">
      <c r="A59" s="4">
        <v>58</v>
      </c>
      <c r="B59" s="3">
        <v>45292</v>
      </c>
      <c r="C59" s="4" t="s">
        <v>8</v>
      </c>
      <c r="D59" s="4" t="s">
        <v>24</v>
      </c>
      <c r="E59" s="4" t="s">
        <v>10</v>
      </c>
      <c r="F59" s="4">
        <v>160</v>
      </c>
      <c r="G59" s="4">
        <v>59248</v>
      </c>
      <c r="H59" s="4" t="s">
        <v>11</v>
      </c>
      <c r="I59" s="4">
        <v>42</v>
      </c>
      <c r="J59" s="4"/>
      <c r="K59" s="7">
        <f>G59/Table2[[#This Row],[UnitsProduced]]</f>
        <v>370.3</v>
      </c>
    </row>
    <row r="60" spans="1:11" x14ac:dyDescent="0.3">
      <c r="A60" s="2">
        <v>59</v>
      </c>
      <c r="B60" s="1">
        <v>45453</v>
      </c>
      <c r="C60" s="2" t="s">
        <v>15</v>
      </c>
      <c r="D60" s="2" t="s">
        <v>9</v>
      </c>
      <c r="E60" s="2" t="s">
        <v>23</v>
      </c>
      <c r="F60" s="2">
        <v>322</v>
      </c>
      <c r="G60" s="2">
        <v>29440</v>
      </c>
      <c r="H60" s="2" t="s">
        <v>18</v>
      </c>
      <c r="I60" s="2">
        <v>25</v>
      </c>
      <c r="J60" s="2"/>
      <c r="K60" s="7">
        <f>G60/Table2[[#This Row],[UnitsProduced]]</f>
        <v>91.428571428571431</v>
      </c>
    </row>
    <row r="61" spans="1:11" x14ac:dyDescent="0.3">
      <c r="A61" s="4">
        <v>60</v>
      </c>
      <c r="B61" s="3">
        <v>45372</v>
      </c>
      <c r="C61" s="4" t="s">
        <v>15</v>
      </c>
      <c r="D61" s="4" t="s">
        <v>9</v>
      </c>
      <c r="E61" s="4" t="s">
        <v>17</v>
      </c>
      <c r="F61" s="4">
        <v>178</v>
      </c>
      <c r="G61" s="4">
        <v>679</v>
      </c>
      <c r="H61" s="4" t="s">
        <v>18</v>
      </c>
      <c r="I61" s="4">
        <v>25</v>
      </c>
      <c r="J61" s="4"/>
      <c r="K61" s="7">
        <f>G61/Table2[[#This Row],[UnitsProduced]]</f>
        <v>3.8146067415730336</v>
      </c>
    </row>
    <row r="62" spans="1:11" x14ac:dyDescent="0.3">
      <c r="A62" s="4">
        <v>61</v>
      </c>
      <c r="B62" s="3">
        <v>45286</v>
      </c>
      <c r="C62" s="4" t="s">
        <v>12</v>
      </c>
      <c r="D62" s="4" t="s">
        <v>13</v>
      </c>
      <c r="E62" s="4" t="s">
        <v>10</v>
      </c>
      <c r="F62" s="4">
        <v>151</v>
      </c>
      <c r="G62" s="4">
        <v>8475</v>
      </c>
      <c r="H62" s="4" t="s">
        <v>11</v>
      </c>
      <c r="I62" s="4">
        <v>52</v>
      </c>
      <c r="J62" s="4"/>
      <c r="K62" s="7">
        <f>G62/Table2[[#This Row],[UnitsProduced]]</f>
        <v>56.12582781456954</v>
      </c>
    </row>
    <row r="63" spans="1:11" x14ac:dyDescent="0.3">
      <c r="A63" s="4">
        <v>62</v>
      </c>
      <c r="B63" s="3">
        <v>45350</v>
      </c>
      <c r="C63" s="4" t="s">
        <v>12</v>
      </c>
      <c r="D63" s="4" t="s">
        <v>19</v>
      </c>
      <c r="E63" s="4" t="s">
        <v>17</v>
      </c>
      <c r="F63" s="4">
        <v>535</v>
      </c>
      <c r="G63" s="4">
        <v>44330</v>
      </c>
      <c r="H63" s="4" t="s">
        <v>18</v>
      </c>
      <c r="I63" s="4">
        <v>57</v>
      </c>
      <c r="J63" s="4"/>
      <c r="K63" s="7">
        <f>G63/Table2[[#This Row],[UnitsProduced]]</f>
        <v>82.859813084112147</v>
      </c>
    </row>
    <row r="64" spans="1:11" x14ac:dyDescent="0.3">
      <c r="A64" s="2">
        <v>63</v>
      </c>
      <c r="B64" s="1">
        <v>45510</v>
      </c>
      <c r="C64" s="2" t="s">
        <v>27</v>
      </c>
      <c r="D64" s="2" t="s">
        <v>9</v>
      </c>
      <c r="E64" s="2" t="s">
        <v>10</v>
      </c>
      <c r="F64" s="2">
        <v>305</v>
      </c>
      <c r="G64" s="2">
        <v>3186</v>
      </c>
      <c r="H64" s="2" t="s">
        <v>11</v>
      </c>
      <c r="I64" s="2">
        <v>25</v>
      </c>
      <c r="J64" s="2"/>
      <c r="K64" s="7">
        <f>G64/Table2[[#This Row],[UnitsProduced]]</f>
        <v>10.445901639344262</v>
      </c>
    </row>
    <row r="65" spans="1:11" x14ac:dyDescent="0.3">
      <c r="A65" s="2">
        <v>64</v>
      </c>
      <c r="B65" s="1">
        <v>45432</v>
      </c>
      <c r="C65" s="2" t="s">
        <v>12</v>
      </c>
      <c r="D65" s="2" t="s">
        <v>9</v>
      </c>
      <c r="E65" s="2" t="s">
        <v>23</v>
      </c>
      <c r="F65" s="2">
        <v>188</v>
      </c>
      <c r="G65" s="2">
        <v>679</v>
      </c>
      <c r="H65" s="2" t="s">
        <v>11</v>
      </c>
      <c r="I65" s="2">
        <v>25</v>
      </c>
      <c r="J65" s="2"/>
      <c r="K65" s="7">
        <f>G65/Table2[[#This Row],[UnitsProduced]]</f>
        <v>3.6117021276595747</v>
      </c>
    </row>
    <row r="66" spans="1:11" x14ac:dyDescent="0.3">
      <c r="A66" s="2">
        <v>65</v>
      </c>
      <c r="B66" s="1">
        <v>45378</v>
      </c>
      <c r="C66" s="2" t="s">
        <v>27</v>
      </c>
      <c r="D66" s="2" t="s">
        <v>24</v>
      </c>
      <c r="E66" s="2" t="s">
        <v>10</v>
      </c>
      <c r="F66" s="2">
        <v>495</v>
      </c>
      <c r="G66" s="2">
        <v>679</v>
      </c>
      <c r="H66" s="2" t="s">
        <v>18</v>
      </c>
      <c r="I66" s="2">
        <v>42</v>
      </c>
      <c r="J66" s="2"/>
      <c r="K66" s="7">
        <f>G66/Table2[[#This Row],[UnitsProduced]]</f>
        <v>1.3717171717171717</v>
      </c>
    </row>
    <row r="67" spans="1:11" x14ac:dyDescent="0.3">
      <c r="A67" s="2">
        <v>66</v>
      </c>
      <c r="B67" s="1">
        <v>45390</v>
      </c>
      <c r="C67" s="2" t="s">
        <v>12</v>
      </c>
      <c r="D67" s="2" t="s">
        <v>21</v>
      </c>
      <c r="E67" s="2" t="s">
        <v>23</v>
      </c>
      <c r="F67" s="2">
        <v>190</v>
      </c>
      <c r="G67" s="2">
        <v>28050</v>
      </c>
      <c r="H67" s="2" t="s">
        <v>11</v>
      </c>
      <c r="I67" s="2">
        <v>28</v>
      </c>
      <c r="J67" s="2"/>
      <c r="K67" s="7">
        <f>G67/Table2[[#This Row],[UnitsProduced]]</f>
        <v>147.63157894736841</v>
      </c>
    </row>
    <row r="68" spans="1:11" x14ac:dyDescent="0.3">
      <c r="A68" s="2">
        <v>67</v>
      </c>
      <c r="B68" s="1">
        <v>45249</v>
      </c>
      <c r="C68" s="2" t="s">
        <v>12</v>
      </c>
      <c r="D68" s="2" t="s">
        <v>20</v>
      </c>
      <c r="E68" s="2" t="s">
        <v>10</v>
      </c>
      <c r="F68" s="2">
        <v>511</v>
      </c>
      <c r="G68" s="2">
        <v>16698</v>
      </c>
      <c r="H68" s="2" t="s">
        <v>28</v>
      </c>
      <c r="I68" s="2">
        <v>26</v>
      </c>
      <c r="J68" s="2"/>
      <c r="K68" s="7">
        <f>G68/Table2[[#This Row],[UnitsProduced]]</f>
        <v>32.677103718199611</v>
      </c>
    </row>
    <row r="69" spans="1:11" x14ac:dyDescent="0.3">
      <c r="A69" s="2">
        <v>68</v>
      </c>
      <c r="B69" s="1">
        <v>45350</v>
      </c>
      <c r="C69" s="2" t="s">
        <v>8</v>
      </c>
      <c r="D69" s="2" t="s">
        <v>26</v>
      </c>
      <c r="E69" s="2" t="s">
        <v>10</v>
      </c>
      <c r="F69" s="2">
        <v>308</v>
      </c>
      <c r="G69" s="2">
        <v>27956</v>
      </c>
      <c r="H69" s="2" t="s">
        <v>28</v>
      </c>
      <c r="I69" s="2">
        <v>49</v>
      </c>
      <c r="J69" s="2"/>
      <c r="K69" s="7">
        <f>G69/Table2[[#This Row],[UnitsProduced]]</f>
        <v>90.766233766233768</v>
      </c>
    </row>
    <row r="70" spans="1:11" x14ac:dyDescent="0.3">
      <c r="A70" s="2">
        <v>69</v>
      </c>
      <c r="B70" s="1">
        <v>45532</v>
      </c>
      <c r="C70" s="2" t="s">
        <v>27</v>
      </c>
      <c r="D70" s="2" t="s">
        <v>16</v>
      </c>
      <c r="E70" s="2" t="s">
        <v>14</v>
      </c>
      <c r="F70" s="2">
        <v>183</v>
      </c>
      <c r="G70" s="2">
        <v>679</v>
      </c>
      <c r="H70" s="2" t="s">
        <v>18</v>
      </c>
      <c r="I70" s="2">
        <v>36</v>
      </c>
      <c r="J70" s="2"/>
      <c r="K70" s="7">
        <f>G70/Table2[[#This Row],[UnitsProduced]]</f>
        <v>3.7103825136612021</v>
      </c>
    </row>
    <row r="71" spans="1:11" x14ac:dyDescent="0.3">
      <c r="A71" s="2">
        <v>70</v>
      </c>
      <c r="B71" s="1">
        <v>45232</v>
      </c>
      <c r="C71" s="2" t="s">
        <v>15</v>
      </c>
      <c r="D71" s="2" t="s">
        <v>24</v>
      </c>
      <c r="E71" s="2" t="s">
        <v>14</v>
      </c>
      <c r="F71" s="2">
        <v>335</v>
      </c>
      <c r="G71" s="2">
        <v>36984</v>
      </c>
      <c r="H71" s="2" t="s">
        <v>11</v>
      </c>
      <c r="I71" s="2">
        <v>42</v>
      </c>
      <c r="J71" s="2"/>
      <c r="K71" s="7">
        <f>G71/Table2[[#This Row],[UnitsProduced]]</f>
        <v>110.4</v>
      </c>
    </row>
    <row r="72" spans="1:11" x14ac:dyDescent="0.3">
      <c r="A72" s="4">
        <v>71</v>
      </c>
      <c r="B72" s="3">
        <v>45350</v>
      </c>
      <c r="C72" s="4" t="s">
        <v>15</v>
      </c>
      <c r="D72" s="4" t="s">
        <v>26</v>
      </c>
      <c r="E72" s="4" t="s">
        <v>14</v>
      </c>
      <c r="F72" s="4">
        <v>95</v>
      </c>
      <c r="G72" s="4">
        <v>46800</v>
      </c>
      <c r="H72" s="4" t="s">
        <v>18</v>
      </c>
      <c r="I72" s="4">
        <v>49</v>
      </c>
      <c r="J72" s="4"/>
      <c r="K72" s="7">
        <f>G72/Table2[[#This Row],[UnitsProduced]]</f>
        <v>492.63157894736844</v>
      </c>
    </row>
    <row r="73" spans="1:11" x14ac:dyDescent="0.3">
      <c r="A73" s="2">
        <v>72</v>
      </c>
      <c r="B73" s="1">
        <v>45356</v>
      </c>
      <c r="C73" s="2" t="s">
        <v>15</v>
      </c>
      <c r="D73" s="2" t="s">
        <v>24</v>
      </c>
      <c r="E73" s="2" t="s">
        <v>14</v>
      </c>
      <c r="F73" s="2">
        <v>218</v>
      </c>
      <c r="G73" s="2">
        <v>7125</v>
      </c>
      <c r="H73" s="2" t="s">
        <v>18</v>
      </c>
      <c r="I73" s="2">
        <v>42</v>
      </c>
      <c r="J73" s="2"/>
      <c r="K73" s="7">
        <f>G73/Table2[[#This Row],[UnitsProduced]]</f>
        <v>32.683486238532112</v>
      </c>
    </row>
    <row r="74" spans="1:11" x14ac:dyDescent="0.3">
      <c r="A74" s="4">
        <v>73</v>
      </c>
      <c r="B74" s="3">
        <v>45506</v>
      </c>
      <c r="C74" s="4" t="s">
        <v>12</v>
      </c>
      <c r="D74" s="4" t="s">
        <v>24</v>
      </c>
      <c r="E74" s="4" t="s">
        <v>17</v>
      </c>
      <c r="F74" s="4">
        <v>265</v>
      </c>
      <c r="G74" s="4">
        <v>12320</v>
      </c>
      <c r="H74" s="4" t="s">
        <v>11</v>
      </c>
      <c r="I74" s="4">
        <v>42</v>
      </c>
      <c r="J74" s="4"/>
      <c r="K74" s="7">
        <f>G74/Table2[[#This Row],[UnitsProduced]]</f>
        <v>46.490566037735846</v>
      </c>
    </row>
    <row r="75" spans="1:11" x14ac:dyDescent="0.3">
      <c r="A75" s="2">
        <v>74</v>
      </c>
      <c r="B75" s="1">
        <v>45197</v>
      </c>
      <c r="C75" s="2" t="s">
        <v>12</v>
      </c>
      <c r="D75" s="2" t="s">
        <v>13</v>
      </c>
      <c r="E75" s="2" t="s">
        <v>23</v>
      </c>
      <c r="F75" s="2">
        <v>213</v>
      </c>
      <c r="G75" s="2">
        <v>42028</v>
      </c>
      <c r="H75" s="2" t="s">
        <v>11</v>
      </c>
      <c r="I75" s="2">
        <v>52</v>
      </c>
      <c r="J75" s="2"/>
      <c r="K75" s="7">
        <f>G75/Table2[[#This Row],[UnitsProduced]]</f>
        <v>197.31455399061034</v>
      </c>
    </row>
    <row r="76" spans="1:11" x14ac:dyDescent="0.3">
      <c r="A76" s="4">
        <v>75</v>
      </c>
      <c r="B76" s="3">
        <v>45357</v>
      </c>
      <c r="C76" s="4" t="s">
        <v>12</v>
      </c>
      <c r="D76" s="4" t="s">
        <v>22</v>
      </c>
      <c r="E76" s="4" t="s">
        <v>10</v>
      </c>
      <c r="F76" s="4">
        <v>128</v>
      </c>
      <c r="G76" s="4">
        <v>679</v>
      </c>
      <c r="H76" s="4" t="s">
        <v>18</v>
      </c>
      <c r="I76" s="4">
        <v>28</v>
      </c>
      <c r="J76" s="4"/>
      <c r="K76" s="7">
        <f>G76/Table2[[#This Row],[UnitsProduced]]</f>
        <v>5.3046875</v>
      </c>
    </row>
    <row r="77" spans="1:11" x14ac:dyDescent="0.3">
      <c r="A77" s="2">
        <v>76</v>
      </c>
      <c r="B77" s="1">
        <v>45217</v>
      </c>
      <c r="C77" s="2" t="s">
        <v>15</v>
      </c>
      <c r="D77" s="2" t="s">
        <v>9</v>
      </c>
      <c r="E77" s="2" t="s">
        <v>23</v>
      </c>
      <c r="F77" s="2">
        <v>208</v>
      </c>
      <c r="G77" s="2">
        <v>25758</v>
      </c>
      <c r="H77" s="2" t="s">
        <v>28</v>
      </c>
      <c r="I77" s="2">
        <v>25</v>
      </c>
      <c r="J77" s="2"/>
      <c r="K77" s="7">
        <f>G77/Table2[[#This Row],[UnitsProduced]]</f>
        <v>123.83653846153847</v>
      </c>
    </row>
    <row r="78" spans="1:11" x14ac:dyDescent="0.3">
      <c r="A78" s="2">
        <v>77</v>
      </c>
      <c r="B78" s="1">
        <v>45478</v>
      </c>
      <c r="C78" s="2" t="s">
        <v>12</v>
      </c>
      <c r="D78" s="2" t="s">
        <v>24</v>
      </c>
      <c r="E78" s="2" t="s">
        <v>14</v>
      </c>
      <c r="F78" s="2">
        <v>115</v>
      </c>
      <c r="G78" s="2">
        <v>34804</v>
      </c>
      <c r="H78" s="2" t="s">
        <v>11</v>
      </c>
      <c r="I78" s="2">
        <v>42</v>
      </c>
      <c r="J78" s="2"/>
      <c r="K78" s="7">
        <f>G78/Table2[[#This Row],[UnitsProduced]]</f>
        <v>302.64347826086959</v>
      </c>
    </row>
    <row r="79" spans="1:11" x14ac:dyDescent="0.3">
      <c r="A79" s="4">
        <v>78</v>
      </c>
      <c r="B79" s="3">
        <v>45469</v>
      </c>
      <c r="C79" s="4" t="s">
        <v>8</v>
      </c>
      <c r="D79" s="4" t="s">
        <v>20</v>
      </c>
      <c r="E79" s="4" t="s">
        <v>10</v>
      </c>
      <c r="F79" s="4">
        <v>465</v>
      </c>
      <c r="G79" s="4">
        <v>679</v>
      </c>
      <c r="H79" s="4" t="s">
        <v>11</v>
      </c>
      <c r="I79" s="4">
        <v>26</v>
      </c>
      <c r="J79" s="4"/>
      <c r="K79" s="7">
        <f>G79/Table2[[#This Row],[UnitsProduced]]</f>
        <v>1.4602150537634409</v>
      </c>
    </row>
    <row r="80" spans="1:11" x14ac:dyDescent="0.3">
      <c r="A80" s="2">
        <v>79</v>
      </c>
      <c r="B80" s="1">
        <v>45544</v>
      </c>
      <c r="C80" s="2" t="s">
        <v>27</v>
      </c>
      <c r="D80" s="2" t="s">
        <v>24</v>
      </c>
      <c r="E80" s="2" t="s">
        <v>17</v>
      </c>
      <c r="F80" s="2">
        <v>519</v>
      </c>
      <c r="G80" s="2">
        <v>45312</v>
      </c>
      <c r="H80" s="2" t="s">
        <v>18</v>
      </c>
      <c r="I80" s="2">
        <v>42</v>
      </c>
      <c r="J80" s="2"/>
      <c r="K80" s="7">
        <f>G80/Table2[[#This Row],[UnitsProduced]]</f>
        <v>87.306358381502889</v>
      </c>
    </row>
    <row r="81" spans="1:11" x14ac:dyDescent="0.3">
      <c r="A81" s="2">
        <v>80</v>
      </c>
      <c r="B81" s="1">
        <v>45350</v>
      </c>
      <c r="C81" s="2" t="s">
        <v>8</v>
      </c>
      <c r="D81" s="2" t="s">
        <v>19</v>
      </c>
      <c r="E81" s="2" t="s">
        <v>17</v>
      </c>
      <c r="F81" s="2">
        <v>380</v>
      </c>
      <c r="G81" s="2">
        <v>44525</v>
      </c>
      <c r="H81" s="2" t="s">
        <v>28</v>
      </c>
      <c r="I81" s="2">
        <v>57</v>
      </c>
      <c r="J81" s="2"/>
      <c r="K81" s="7">
        <f>G81/Table2[[#This Row],[UnitsProduced]]</f>
        <v>117.17105263157895</v>
      </c>
    </row>
    <row r="82" spans="1:11" x14ac:dyDescent="0.3">
      <c r="A82" s="4">
        <v>81</v>
      </c>
      <c r="B82" s="3">
        <v>45335</v>
      </c>
      <c r="C82" s="4" t="s">
        <v>27</v>
      </c>
      <c r="D82" s="4" t="s">
        <v>24</v>
      </c>
      <c r="E82" s="4" t="s">
        <v>10</v>
      </c>
      <c r="F82" s="4">
        <v>32</v>
      </c>
      <c r="G82" s="4">
        <v>3132</v>
      </c>
      <c r="H82" s="4" t="s">
        <v>18</v>
      </c>
      <c r="I82" s="4">
        <v>42</v>
      </c>
      <c r="J82" s="4"/>
      <c r="K82" s="7">
        <f>G82/Table2[[#This Row],[UnitsProduced]]</f>
        <v>97.875</v>
      </c>
    </row>
    <row r="83" spans="1:11" x14ac:dyDescent="0.3">
      <c r="A83" s="4">
        <v>82</v>
      </c>
      <c r="B83" s="3">
        <v>45457</v>
      </c>
      <c r="C83" s="4" t="s">
        <v>27</v>
      </c>
      <c r="D83" s="4" t="s">
        <v>9</v>
      </c>
      <c r="E83" s="4" t="s">
        <v>14</v>
      </c>
      <c r="F83" s="4">
        <v>130</v>
      </c>
      <c r="G83" s="4">
        <v>16740</v>
      </c>
      <c r="H83" s="4" t="s">
        <v>11</v>
      </c>
      <c r="I83" s="4">
        <v>25</v>
      </c>
      <c r="J83" s="4"/>
      <c r="K83" s="7">
        <f>G83/Table2[[#This Row],[UnitsProduced]]</f>
        <v>128.76923076923077</v>
      </c>
    </row>
    <row r="84" spans="1:11" x14ac:dyDescent="0.3">
      <c r="A84" s="2">
        <v>83</v>
      </c>
      <c r="B84" s="1">
        <v>45254</v>
      </c>
      <c r="C84" s="2" t="s">
        <v>12</v>
      </c>
      <c r="D84" s="2" t="s">
        <v>20</v>
      </c>
      <c r="E84" s="2" t="s">
        <v>17</v>
      </c>
      <c r="F84" s="2">
        <v>545</v>
      </c>
      <c r="G84" s="2">
        <v>65250</v>
      </c>
      <c r="H84" s="2" t="s">
        <v>11</v>
      </c>
      <c r="I84" s="2">
        <v>26</v>
      </c>
      <c r="J84" s="2"/>
      <c r="K84" s="7">
        <f>G84/Table2[[#This Row],[UnitsProduced]]</f>
        <v>119.72477064220183</v>
      </c>
    </row>
    <row r="85" spans="1:11" x14ac:dyDescent="0.3">
      <c r="A85" s="2">
        <v>84</v>
      </c>
      <c r="B85" s="1">
        <v>45369</v>
      </c>
      <c r="C85" s="2" t="s">
        <v>12</v>
      </c>
      <c r="D85" s="2" t="s">
        <v>21</v>
      </c>
      <c r="E85" s="2" t="s">
        <v>23</v>
      </c>
      <c r="F85" s="2">
        <v>84</v>
      </c>
      <c r="G85" s="2">
        <v>10688</v>
      </c>
      <c r="H85" s="2" t="s">
        <v>11</v>
      </c>
      <c r="I85" s="2">
        <v>28</v>
      </c>
      <c r="J85" s="2"/>
      <c r="K85" s="7">
        <f>G85/Table2[[#This Row],[UnitsProduced]]</f>
        <v>127.23809523809524</v>
      </c>
    </row>
    <row r="86" spans="1:11" x14ac:dyDescent="0.3">
      <c r="A86" s="4">
        <v>85</v>
      </c>
      <c r="B86" s="3">
        <v>45309</v>
      </c>
      <c r="C86" s="4" t="s">
        <v>12</v>
      </c>
      <c r="D86" s="4" t="s">
        <v>24</v>
      </c>
      <c r="E86" s="4" t="s">
        <v>23</v>
      </c>
      <c r="F86" s="4">
        <v>192</v>
      </c>
      <c r="G86" s="4">
        <v>18648</v>
      </c>
      <c r="H86" s="4" t="s">
        <v>11</v>
      </c>
      <c r="I86" s="4">
        <v>42</v>
      </c>
      <c r="J86" s="4"/>
      <c r="K86" s="7">
        <f>G86/Table2[[#This Row],[UnitsProduced]]</f>
        <v>97.125</v>
      </c>
    </row>
    <row r="87" spans="1:11" x14ac:dyDescent="0.3">
      <c r="A87" s="2">
        <v>86</v>
      </c>
      <c r="B87" s="1">
        <v>45307</v>
      </c>
      <c r="C87" s="2" t="s">
        <v>8</v>
      </c>
      <c r="D87" s="2" t="s">
        <v>21</v>
      </c>
      <c r="E87" s="2" t="s">
        <v>10</v>
      </c>
      <c r="F87" s="2">
        <v>60</v>
      </c>
      <c r="G87" s="2">
        <v>5822</v>
      </c>
      <c r="H87" s="2" t="s">
        <v>18</v>
      </c>
      <c r="I87" s="2">
        <v>28</v>
      </c>
      <c r="J87" s="2"/>
      <c r="K87" s="7">
        <f>G87/Table2[[#This Row],[UnitsProduced]]</f>
        <v>97.033333333333331</v>
      </c>
    </row>
    <row r="88" spans="1:11" x14ac:dyDescent="0.3">
      <c r="A88" s="2">
        <v>87</v>
      </c>
      <c r="B88" s="1">
        <v>45330</v>
      </c>
      <c r="C88" s="2" t="s">
        <v>12</v>
      </c>
      <c r="D88" s="2" t="s">
        <v>24</v>
      </c>
      <c r="E88" s="2" t="s">
        <v>14</v>
      </c>
      <c r="F88" s="2">
        <v>209</v>
      </c>
      <c r="G88" s="2">
        <v>51221</v>
      </c>
      <c r="H88" s="2" t="s">
        <v>11</v>
      </c>
      <c r="I88" s="2">
        <v>42</v>
      </c>
      <c r="J88" s="2"/>
      <c r="K88" s="7">
        <f>G88/Table2[[#This Row],[UnitsProduced]]</f>
        <v>245.07655502392345</v>
      </c>
    </row>
    <row r="89" spans="1:11" x14ac:dyDescent="0.3">
      <c r="A89" s="4">
        <v>88</v>
      </c>
      <c r="B89" s="3">
        <v>45305</v>
      </c>
      <c r="C89" s="4" t="s">
        <v>15</v>
      </c>
      <c r="D89" s="4" t="s">
        <v>21</v>
      </c>
      <c r="E89" s="4" t="s">
        <v>14</v>
      </c>
      <c r="F89" s="4">
        <v>264</v>
      </c>
      <c r="G89" s="4">
        <v>75332</v>
      </c>
      <c r="H89" s="4" t="s">
        <v>11</v>
      </c>
      <c r="I89" s="4">
        <v>28</v>
      </c>
      <c r="J89" s="4"/>
      <c r="K89" s="7">
        <f>G89/Table2[[#This Row],[UnitsProduced]]</f>
        <v>285.34848484848487</v>
      </c>
    </row>
    <row r="90" spans="1:11" x14ac:dyDescent="0.3">
      <c r="A90" s="4">
        <v>89</v>
      </c>
      <c r="B90" s="3">
        <v>45348</v>
      </c>
      <c r="C90" s="4" t="s">
        <v>12</v>
      </c>
      <c r="D90" s="4" t="s">
        <v>20</v>
      </c>
      <c r="E90" s="4" t="s">
        <v>23</v>
      </c>
      <c r="F90" s="4">
        <v>97</v>
      </c>
      <c r="G90" s="4">
        <v>679</v>
      </c>
      <c r="H90" s="4" t="s">
        <v>11</v>
      </c>
      <c r="I90" s="4">
        <v>26</v>
      </c>
      <c r="J90" s="4"/>
      <c r="K90" s="7">
        <f>G90/Table2[[#This Row],[UnitsProduced]]</f>
        <v>7</v>
      </c>
    </row>
    <row r="91" spans="1:11" x14ac:dyDescent="0.3">
      <c r="A91" s="2">
        <v>90</v>
      </c>
      <c r="B91" s="1">
        <v>45289</v>
      </c>
      <c r="C91" s="2" t="s">
        <v>12</v>
      </c>
      <c r="D91" s="2" t="s">
        <v>20</v>
      </c>
      <c r="E91" s="2" t="s">
        <v>14</v>
      </c>
      <c r="F91" s="2">
        <v>404</v>
      </c>
      <c r="G91" s="2">
        <v>13310</v>
      </c>
      <c r="H91" s="2" t="s">
        <v>11</v>
      </c>
      <c r="I91" s="2">
        <v>26</v>
      </c>
      <c r="J91" s="2"/>
      <c r="K91" s="7">
        <f>G91/Table2[[#This Row],[UnitsProduced]]</f>
        <v>32.945544554455445</v>
      </c>
    </row>
    <row r="92" spans="1:11" x14ac:dyDescent="0.3">
      <c r="A92" s="4">
        <v>91</v>
      </c>
      <c r="B92" s="3">
        <v>45444</v>
      </c>
      <c r="C92" s="4" t="s">
        <v>15</v>
      </c>
      <c r="D92" s="4" t="s">
        <v>24</v>
      </c>
      <c r="E92" s="4" t="s">
        <v>17</v>
      </c>
      <c r="F92" s="4">
        <v>386</v>
      </c>
      <c r="G92" s="4">
        <v>47952</v>
      </c>
      <c r="H92" s="4" t="s">
        <v>18</v>
      </c>
      <c r="I92" s="4">
        <v>42</v>
      </c>
      <c r="J92" s="4"/>
      <c r="K92" s="7">
        <f>G92/Table2[[#This Row],[UnitsProduced]]</f>
        <v>124.2279792746114</v>
      </c>
    </row>
    <row r="93" spans="1:11" x14ac:dyDescent="0.3">
      <c r="A93" s="4">
        <v>92</v>
      </c>
      <c r="B93" s="3">
        <v>45329</v>
      </c>
      <c r="C93" s="4" t="s">
        <v>8</v>
      </c>
      <c r="D93" s="4" t="s">
        <v>9</v>
      </c>
      <c r="E93" s="4" t="s">
        <v>17</v>
      </c>
      <c r="F93" s="4">
        <v>214</v>
      </c>
      <c r="G93" s="4">
        <v>4984</v>
      </c>
      <c r="H93" s="4" t="s">
        <v>18</v>
      </c>
      <c r="I93" s="4">
        <v>25</v>
      </c>
      <c r="J93" s="4"/>
      <c r="K93" s="7">
        <f>G93/Table2[[#This Row],[UnitsProduced]]</f>
        <v>23.289719626168225</v>
      </c>
    </row>
    <row r="94" spans="1:11" x14ac:dyDescent="0.3">
      <c r="A94" s="4">
        <v>93</v>
      </c>
      <c r="B94" s="3">
        <v>45277</v>
      </c>
      <c r="C94" s="4" t="s">
        <v>8</v>
      </c>
      <c r="D94" s="4" t="s">
        <v>22</v>
      </c>
      <c r="E94" s="4" t="s">
        <v>10</v>
      </c>
      <c r="F94" s="4">
        <v>366</v>
      </c>
      <c r="G94" s="4">
        <v>4131</v>
      </c>
      <c r="H94" s="4" t="s">
        <v>18</v>
      </c>
      <c r="I94" s="4">
        <v>28</v>
      </c>
      <c r="J94" s="4"/>
      <c r="K94" s="7">
        <f>G94/Table2[[#This Row],[UnitsProduced]]</f>
        <v>11.28688524590164</v>
      </c>
    </row>
    <row r="95" spans="1:11" x14ac:dyDescent="0.3">
      <c r="A95" s="4">
        <v>94</v>
      </c>
      <c r="B95" s="3">
        <v>45427</v>
      </c>
      <c r="C95" s="4" t="s">
        <v>15</v>
      </c>
      <c r="D95" s="4" t="s">
        <v>25</v>
      </c>
      <c r="E95" s="4" t="s">
        <v>10</v>
      </c>
      <c r="F95" s="4">
        <v>173</v>
      </c>
      <c r="G95" s="4">
        <v>24549</v>
      </c>
      <c r="H95" s="4" t="s">
        <v>18</v>
      </c>
      <c r="I95" s="4">
        <v>25</v>
      </c>
      <c r="J95" s="4"/>
      <c r="K95" s="7">
        <f>G95/Table2[[#This Row],[UnitsProduced]]</f>
        <v>141.90173410404626</v>
      </c>
    </row>
    <row r="96" spans="1:11" x14ac:dyDescent="0.3">
      <c r="A96" s="4">
        <v>95</v>
      </c>
      <c r="B96" s="3">
        <v>45521</v>
      </c>
      <c r="C96" s="4" t="s">
        <v>15</v>
      </c>
      <c r="D96" s="4" t="s">
        <v>24</v>
      </c>
      <c r="E96" s="4" t="s">
        <v>14</v>
      </c>
      <c r="F96" s="4">
        <v>306</v>
      </c>
      <c r="G96" s="4">
        <v>679</v>
      </c>
      <c r="H96" s="4" t="s">
        <v>11</v>
      </c>
      <c r="I96" s="4">
        <v>42</v>
      </c>
      <c r="J96" s="4"/>
      <c r="K96" s="7">
        <f>G96/Table2[[#This Row],[UnitsProduced]]</f>
        <v>2.2189542483660132</v>
      </c>
    </row>
    <row r="97" spans="1:11" x14ac:dyDescent="0.3">
      <c r="A97" s="2">
        <v>96</v>
      </c>
      <c r="B97" s="1">
        <v>45347</v>
      </c>
      <c r="C97" s="2" t="s">
        <v>15</v>
      </c>
      <c r="D97" s="2" t="s">
        <v>21</v>
      </c>
      <c r="E97" s="2" t="s">
        <v>10</v>
      </c>
      <c r="F97" s="2">
        <v>128</v>
      </c>
      <c r="G97" s="2">
        <v>35088</v>
      </c>
      <c r="H97" s="2" t="s">
        <v>18</v>
      </c>
      <c r="I97" s="2">
        <v>28</v>
      </c>
      <c r="J97" s="2"/>
      <c r="K97" s="7">
        <f>G97/Table2[[#This Row],[UnitsProduced]]</f>
        <v>274.125</v>
      </c>
    </row>
    <row r="98" spans="1:11" x14ac:dyDescent="0.3">
      <c r="A98" s="2">
        <v>97</v>
      </c>
      <c r="B98" s="1">
        <v>45293</v>
      </c>
      <c r="C98" s="2" t="s">
        <v>12</v>
      </c>
      <c r="D98" s="2" t="s">
        <v>9</v>
      </c>
      <c r="E98" s="2" t="s">
        <v>23</v>
      </c>
      <c r="F98" s="2">
        <v>368</v>
      </c>
      <c r="G98" s="2">
        <v>25254</v>
      </c>
      <c r="H98" s="2" t="s">
        <v>11</v>
      </c>
      <c r="I98" s="2">
        <v>25</v>
      </c>
      <c r="J98" s="2"/>
      <c r="K98" s="7">
        <f>G98/Table2[[#This Row],[UnitsProduced]]</f>
        <v>68.625</v>
      </c>
    </row>
    <row r="99" spans="1:11" x14ac:dyDescent="0.3">
      <c r="A99" s="2">
        <v>98</v>
      </c>
      <c r="B99" s="1">
        <v>45282</v>
      </c>
      <c r="C99" s="2" t="s">
        <v>12</v>
      </c>
      <c r="D99" s="2" t="s">
        <v>19</v>
      </c>
      <c r="E99" s="2" t="s">
        <v>17</v>
      </c>
      <c r="F99" s="2">
        <v>222</v>
      </c>
      <c r="G99" s="2">
        <v>17500</v>
      </c>
      <c r="H99" s="2" t="s">
        <v>18</v>
      </c>
      <c r="I99" s="2">
        <v>57</v>
      </c>
      <c r="J99" s="2"/>
      <c r="K99" s="7">
        <f>G99/Table2[[#This Row],[UnitsProduced]]</f>
        <v>78.828828828828833</v>
      </c>
    </row>
    <row r="100" spans="1:11" x14ac:dyDescent="0.3">
      <c r="A100" s="4">
        <v>99</v>
      </c>
      <c r="B100" s="3">
        <v>45464</v>
      </c>
      <c r="C100" s="4" t="s">
        <v>12</v>
      </c>
      <c r="D100" s="4" t="s">
        <v>24</v>
      </c>
      <c r="E100" s="4" t="s">
        <v>23</v>
      </c>
      <c r="F100" s="4">
        <v>216</v>
      </c>
      <c r="G100" s="4">
        <v>36934</v>
      </c>
      <c r="H100" s="4" t="s">
        <v>11</v>
      </c>
      <c r="I100" s="4">
        <v>42</v>
      </c>
      <c r="J100" s="4"/>
      <c r="K100" s="7">
        <f>G100/Table2[[#This Row],[UnitsProduced]]</f>
        <v>170.99074074074073</v>
      </c>
    </row>
    <row r="101" spans="1:11" x14ac:dyDescent="0.3">
      <c r="A101" s="4">
        <v>100</v>
      </c>
      <c r="B101" s="3">
        <v>45286</v>
      </c>
      <c r="C101" s="4" t="s">
        <v>12</v>
      </c>
      <c r="D101" s="4" t="s">
        <v>13</v>
      </c>
      <c r="E101" s="4" t="s">
        <v>23</v>
      </c>
      <c r="F101" s="4">
        <v>307</v>
      </c>
      <c r="G101" s="4">
        <v>679</v>
      </c>
      <c r="H101" s="4" t="s">
        <v>11</v>
      </c>
      <c r="I101" s="4">
        <v>52</v>
      </c>
      <c r="J101" s="4"/>
      <c r="K101" s="7">
        <f>G101/Table2[[#This Row],[UnitsProduced]]</f>
        <v>2.2117263843648209</v>
      </c>
    </row>
    <row r="102" spans="1:11" x14ac:dyDescent="0.3">
      <c r="A102" s="4">
        <v>101</v>
      </c>
      <c r="B102" s="3">
        <v>45215</v>
      </c>
      <c r="C102" s="4" t="s">
        <v>8</v>
      </c>
      <c r="D102" s="4" t="s">
        <v>9</v>
      </c>
      <c r="E102" s="4" t="s">
        <v>14</v>
      </c>
      <c r="F102" s="4">
        <v>384</v>
      </c>
      <c r="G102" s="4">
        <v>40565</v>
      </c>
      <c r="H102" s="4" t="s">
        <v>11</v>
      </c>
      <c r="I102" s="4">
        <v>25</v>
      </c>
      <c r="J102" s="4"/>
      <c r="K102" s="7">
        <f>G102/Table2[[#This Row],[UnitsProduced]]</f>
        <v>105.63802083333333</v>
      </c>
    </row>
    <row r="103" spans="1:11" x14ac:dyDescent="0.3">
      <c r="A103" s="2">
        <v>102</v>
      </c>
      <c r="B103" s="1">
        <v>45497</v>
      </c>
      <c r="C103" s="2" t="s">
        <v>27</v>
      </c>
      <c r="D103" s="2" t="s">
        <v>20</v>
      </c>
      <c r="E103" s="2" t="s">
        <v>10</v>
      </c>
      <c r="F103" s="2">
        <v>376</v>
      </c>
      <c r="G103" s="2">
        <v>679</v>
      </c>
      <c r="H103" s="2" t="s">
        <v>11</v>
      </c>
      <c r="I103" s="2">
        <v>26</v>
      </c>
      <c r="J103" s="2"/>
      <c r="K103" s="7">
        <f>G103/Table2[[#This Row],[UnitsProduced]]</f>
        <v>1.8058510638297873</v>
      </c>
    </row>
    <row r="104" spans="1:11" x14ac:dyDescent="0.3">
      <c r="A104" s="2">
        <v>103</v>
      </c>
      <c r="B104" s="1">
        <v>45274</v>
      </c>
      <c r="C104" s="2" t="s">
        <v>27</v>
      </c>
      <c r="D104" s="2" t="s">
        <v>19</v>
      </c>
      <c r="E104" s="2" t="s">
        <v>10</v>
      </c>
      <c r="F104" s="2">
        <v>97</v>
      </c>
      <c r="G104" s="2">
        <v>679</v>
      </c>
      <c r="H104" s="2" t="s">
        <v>11</v>
      </c>
      <c r="I104" s="2">
        <v>57</v>
      </c>
      <c r="J104" s="2"/>
      <c r="K104" s="7">
        <f>G104/Table2[[#This Row],[UnitsProduced]]</f>
        <v>7</v>
      </c>
    </row>
    <row r="105" spans="1:11" x14ac:dyDescent="0.3">
      <c r="A105" s="4">
        <v>104</v>
      </c>
      <c r="B105" s="3">
        <v>45243</v>
      </c>
      <c r="C105" s="4" t="s">
        <v>12</v>
      </c>
      <c r="D105" s="4" t="s">
        <v>24</v>
      </c>
      <c r="E105" s="4" t="s">
        <v>17</v>
      </c>
      <c r="F105" s="4">
        <v>359</v>
      </c>
      <c r="G105" s="4">
        <v>12753</v>
      </c>
      <c r="H105" s="4" t="s">
        <v>18</v>
      </c>
      <c r="I105" s="4">
        <v>42</v>
      </c>
      <c r="J105" s="4"/>
      <c r="K105" s="7">
        <f>G105/Table2[[#This Row],[UnitsProduced]]</f>
        <v>35.523676880222844</v>
      </c>
    </row>
    <row r="106" spans="1:11" x14ac:dyDescent="0.3">
      <c r="A106" s="2">
        <v>105</v>
      </c>
      <c r="B106" s="1">
        <v>45350</v>
      </c>
      <c r="C106" s="2" t="s">
        <v>15</v>
      </c>
      <c r="D106" s="2" t="s">
        <v>24</v>
      </c>
      <c r="E106" s="2" t="s">
        <v>17</v>
      </c>
      <c r="F106" s="2">
        <v>318</v>
      </c>
      <c r="G106" s="2">
        <v>16864</v>
      </c>
      <c r="H106" s="2" t="s">
        <v>18</v>
      </c>
      <c r="I106" s="2">
        <v>42</v>
      </c>
      <c r="J106" s="2"/>
      <c r="K106" s="7">
        <f>G106/Table2[[#This Row],[UnitsProduced]]</f>
        <v>53.031446540880502</v>
      </c>
    </row>
    <row r="107" spans="1:11" x14ac:dyDescent="0.3">
      <c r="A107" s="4">
        <v>106</v>
      </c>
      <c r="B107" s="3">
        <v>45392</v>
      </c>
      <c r="C107" s="4" t="s">
        <v>8</v>
      </c>
      <c r="D107" s="4" t="s">
        <v>24</v>
      </c>
      <c r="E107" s="4" t="s">
        <v>10</v>
      </c>
      <c r="F107" s="4">
        <v>51</v>
      </c>
      <c r="G107" s="4">
        <v>56888</v>
      </c>
      <c r="H107" s="4" t="s">
        <v>11</v>
      </c>
      <c r="I107" s="4">
        <v>42</v>
      </c>
      <c r="J107" s="4"/>
      <c r="K107" s="7">
        <f>G107/Table2[[#This Row],[UnitsProduced]]</f>
        <v>1115.4509803921569</v>
      </c>
    </row>
    <row r="108" spans="1:11" x14ac:dyDescent="0.3">
      <c r="A108" s="4">
        <v>107</v>
      </c>
      <c r="B108" s="3">
        <v>45412</v>
      </c>
      <c r="C108" s="4" t="s">
        <v>27</v>
      </c>
      <c r="D108" s="4" t="s">
        <v>21</v>
      </c>
      <c r="E108" s="4" t="s">
        <v>17</v>
      </c>
      <c r="F108" s="4">
        <v>236</v>
      </c>
      <c r="G108" s="4">
        <v>679</v>
      </c>
      <c r="H108" s="4" t="s">
        <v>28</v>
      </c>
      <c r="I108" s="4">
        <v>28</v>
      </c>
      <c r="J108" s="4"/>
      <c r="K108" s="7">
        <f>G108/Table2[[#This Row],[UnitsProduced]]</f>
        <v>2.8771186440677967</v>
      </c>
    </row>
    <row r="109" spans="1:11" x14ac:dyDescent="0.3">
      <c r="A109" s="2">
        <v>108</v>
      </c>
      <c r="B109" s="1">
        <v>45264</v>
      </c>
      <c r="C109" s="2" t="s">
        <v>12</v>
      </c>
      <c r="D109" s="2" t="s">
        <v>24</v>
      </c>
      <c r="E109" s="2" t="s">
        <v>10</v>
      </c>
      <c r="F109" s="2">
        <v>214</v>
      </c>
      <c r="G109" s="2">
        <v>31122</v>
      </c>
      <c r="H109" s="2" t="s">
        <v>18</v>
      </c>
      <c r="I109" s="2">
        <v>42</v>
      </c>
      <c r="J109" s="2"/>
      <c r="K109" s="7">
        <f>G109/Table2[[#This Row],[UnitsProduced]]</f>
        <v>145.42990654205607</v>
      </c>
    </row>
    <row r="110" spans="1:11" x14ac:dyDescent="0.3">
      <c r="A110" s="4">
        <v>109</v>
      </c>
      <c r="B110" s="3">
        <v>45256</v>
      </c>
      <c r="C110" s="4" t="s">
        <v>27</v>
      </c>
      <c r="D110" s="4" t="s">
        <v>22</v>
      </c>
      <c r="E110" s="4" t="s">
        <v>10</v>
      </c>
      <c r="F110" s="4">
        <v>86</v>
      </c>
      <c r="G110" s="4">
        <v>25853</v>
      </c>
      <c r="H110" s="4" t="s">
        <v>11</v>
      </c>
      <c r="I110" s="4">
        <v>28</v>
      </c>
      <c r="J110" s="4"/>
      <c r="K110" s="7">
        <f>G110/Table2[[#This Row],[UnitsProduced]]</f>
        <v>300.61627906976742</v>
      </c>
    </row>
    <row r="111" spans="1:11" x14ac:dyDescent="0.3">
      <c r="A111" s="4">
        <v>110</v>
      </c>
      <c r="B111" s="3">
        <v>45383</v>
      </c>
      <c r="C111" s="4" t="s">
        <v>12</v>
      </c>
      <c r="D111" s="4" t="s">
        <v>13</v>
      </c>
      <c r="E111" s="4" t="s">
        <v>17</v>
      </c>
      <c r="F111" s="4">
        <v>155</v>
      </c>
      <c r="G111" s="4">
        <v>11092</v>
      </c>
      <c r="H111" s="4" t="s">
        <v>11</v>
      </c>
      <c r="I111" s="4">
        <v>52</v>
      </c>
      <c r="J111" s="4"/>
      <c r="K111" s="7">
        <f>G111/Table2[[#This Row],[UnitsProduced]]</f>
        <v>71.561290322580646</v>
      </c>
    </row>
    <row r="112" spans="1:11" x14ac:dyDescent="0.3">
      <c r="A112" s="4">
        <v>111</v>
      </c>
      <c r="B112" s="3">
        <v>45497</v>
      </c>
      <c r="C112" s="4" t="s">
        <v>15</v>
      </c>
      <c r="D112" s="4" t="s">
        <v>20</v>
      </c>
      <c r="E112" s="4" t="s">
        <v>23</v>
      </c>
      <c r="F112" s="4">
        <v>319</v>
      </c>
      <c r="G112" s="4">
        <v>4221</v>
      </c>
      <c r="H112" s="4" t="s">
        <v>18</v>
      </c>
      <c r="I112" s="4">
        <v>26</v>
      </c>
      <c r="J112" s="4"/>
      <c r="K112" s="7">
        <f>G112/Table2[[#This Row],[UnitsProduced]]</f>
        <v>13.231974921630094</v>
      </c>
    </row>
    <row r="113" spans="1:11" x14ac:dyDescent="0.3">
      <c r="A113" s="2">
        <v>112</v>
      </c>
      <c r="B113" s="1">
        <v>45527</v>
      </c>
      <c r="C113" s="2" t="s">
        <v>27</v>
      </c>
      <c r="D113" s="2" t="s">
        <v>25</v>
      </c>
      <c r="E113" s="2" t="s">
        <v>10</v>
      </c>
      <c r="F113" s="2">
        <v>62</v>
      </c>
      <c r="G113" s="2">
        <v>31500</v>
      </c>
      <c r="H113" s="2" t="s">
        <v>18</v>
      </c>
      <c r="I113" s="2">
        <v>25</v>
      </c>
      <c r="J113" s="2"/>
      <c r="K113" s="7">
        <f>G113/Table2[[#This Row],[UnitsProduced]]</f>
        <v>508.06451612903226</v>
      </c>
    </row>
    <row r="114" spans="1:11" x14ac:dyDescent="0.3">
      <c r="A114" s="4">
        <v>113</v>
      </c>
      <c r="B114" s="3">
        <v>45370</v>
      </c>
      <c r="C114" s="4" t="s">
        <v>27</v>
      </c>
      <c r="D114" s="4" t="s">
        <v>20</v>
      </c>
      <c r="E114" s="4" t="s">
        <v>10</v>
      </c>
      <c r="F114" s="4">
        <v>81</v>
      </c>
      <c r="G114" s="4">
        <v>31414</v>
      </c>
      <c r="H114" s="4" t="s">
        <v>11</v>
      </c>
      <c r="I114" s="4">
        <v>26</v>
      </c>
      <c r="J114" s="4"/>
      <c r="K114" s="7">
        <f>G114/Table2[[#This Row],[UnitsProduced]]</f>
        <v>387.82716049382714</v>
      </c>
    </row>
    <row r="115" spans="1:11" x14ac:dyDescent="0.3">
      <c r="A115" s="4">
        <v>114</v>
      </c>
      <c r="B115" s="3">
        <v>45233</v>
      </c>
      <c r="C115" s="4" t="s">
        <v>15</v>
      </c>
      <c r="D115" s="4" t="s">
        <v>19</v>
      </c>
      <c r="E115" s="4" t="s">
        <v>10</v>
      </c>
      <c r="F115" s="4">
        <v>126</v>
      </c>
      <c r="G115" s="4">
        <v>40446</v>
      </c>
      <c r="H115" s="4" t="s">
        <v>28</v>
      </c>
      <c r="I115" s="4">
        <v>57</v>
      </c>
      <c r="J115" s="4"/>
      <c r="K115" s="7">
        <f>G115/Table2[[#This Row],[UnitsProduced]]</f>
        <v>321</v>
      </c>
    </row>
    <row r="116" spans="1:11" x14ac:dyDescent="0.3">
      <c r="A116" s="4">
        <v>115</v>
      </c>
      <c r="B116" s="3">
        <v>45232</v>
      </c>
      <c r="C116" s="4" t="s">
        <v>12</v>
      </c>
      <c r="D116" s="4" t="s">
        <v>20</v>
      </c>
      <c r="E116" s="4" t="s">
        <v>10</v>
      </c>
      <c r="F116" s="4">
        <v>541</v>
      </c>
      <c r="G116" s="4">
        <v>42432</v>
      </c>
      <c r="H116" s="4" t="s">
        <v>11</v>
      </c>
      <c r="I116" s="4">
        <v>26</v>
      </c>
      <c r="J116" s="4"/>
      <c r="K116" s="7">
        <f>G116/Table2[[#This Row],[UnitsProduced]]</f>
        <v>78.432532347504619</v>
      </c>
    </row>
    <row r="117" spans="1:11" x14ac:dyDescent="0.3">
      <c r="A117" s="2">
        <v>116</v>
      </c>
      <c r="B117" s="1">
        <v>45240</v>
      </c>
      <c r="C117" s="2" t="s">
        <v>15</v>
      </c>
      <c r="D117" s="2" t="s">
        <v>21</v>
      </c>
      <c r="E117" s="2" t="s">
        <v>14</v>
      </c>
      <c r="F117" s="2">
        <v>666</v>
      </c>
      <c r="G117" s="2">
        <v>64635</v>
      </c>
      <c r="H117" s="2" t="s">
        <v>18</v>
      </c>
      <c r="I117" s="2">
        <v>28</v>
      </c>
      <c r="J117" s="2"/>
      <c r="K117" s="7">
        <f>G117/Table2[[#This Row],[UnitsProduced]]</f>
        <v>97.049549549549553</v>
      </c>
    </row>
    <row r="118" spans="1:11" x14ac:dyDescent="0.3">
      <c r="A118" s="2">
        <v>117</v>
      </c>
      <c r="B118" s="1">
        <v>45374</v>
      </c>
      <c r="C118" s="2" t="s">
        <v>15</v>
      </c>
      <c r="D118" s="2" t="s">
        <v>20</v>
      </c>
      <c r="E118" s="2" t="s">
        <v>23</v>
      </c>
      <c r="F118" s="2">
        <v>527</v>
      </c>
      <c r="G118" s="2">
        <v>51168</v>
      </c>
      <c r="H118" s="2" t="s">
        <v>18</v>
      </c>
      <c r="I118" s="2">
        <v>26</v>
      </c>
      <c r="J118" s="2"/>
      <c r="K118" s="7">
        <f>G118/Table2[[#This Row],[UnitsProduced]]</f>
        <v>97.092979127134726</v>
      </c>
    </row>
    <row r="119" spans="1:11" x14ac:dyDescent="0.3">
      <c r="A119" s="4">
        <v>118</v>
      </c>
      <c r="B119" s="3">
        <v>45273</v>
      </c>
      <c r="C119" s="4" t="s">
        <v>12</v>
      </c>
      <c r="D119" s="4" t="s">
        <v>24</v>
      </c>
      <c r="E119" s="4" t="s">
        <v>10</v>
      </c>
      <c r="F119" s="4">
        <v>289</v>
      </c>
      <c r="G119" s="4">
        <v>24948</v>
      </c>
      <c r="H119" s="4" t="s">
        <v>18</v>
      </c>
      <c r="I119" s="4">
        <v>42</v>
      </c>
      <c r="J119" s="4"/>
      <c r="K119" s="7">
        <f>G119/Table2[[#This Row],[UnitsProduced]]</f>
        <v>86.325259515570934</v>
      </c>
    </row>
    <row r="120" spans="1:11" x14ac:dyDescent="0.3">
      <c r="A120" s="2">
        <v>119</v>
      </c>
      <c r="B120" s="1">
        <v>45305</v>
      </c>
      <c r="C120" s="2" t="s">
        <v>12</v>
      </c>
      <c r="D120" s="2" t="s">
        <v>19</v>
      </c>
      <c r="E120" s="2" t="s">
        <v>23</v>
      </c>
      <c r="F120" s="2">
        <v>199</v>
      </c>
      <c r="G120" s="2">
        <v>56118</v>
      </c>
      <c r="H120" s="2" t="s">
        <v>28</v>
      </c>
      <c r="I120" s="2">
        <v>57</v>
      </c>
      <c r="J120" s="2"/>
      <c r="K120" s="7">
        <f>G120/Table2[[#This Row],[UnitsProduced]]</f>
        <v>282</v>
      </c>
    </row>
    <row r="121" spans="1:11" x14ac:dyDescent="0.3">
      <c r="A121" s="2">
        <v>120</v>
      </c>
      <c r="B121" s="1">
        <v>45361</v>
      </c>
      <c r="C121" s="2" t="s">
        <v>27</v>
      </c>
      <c r="D121" s="2" t="s">
        <v>16</v>
      </c>
      <c r="E121" s="2" t="s">
        <v>10</v>
      </c>
      <c r="F121" s="2">
        <v>497</v>
      </c>
      <c r="G121" s="2">
        <v>46548</v>
      </c>
      <c r="H121" s="2" t="s">
        <v>11</v>
      </c>
      <c r="I121" s="2">
        <v>36</v>
      </c>
      <c r="J121" s="2"/>
      <c r="K121" s="7">
        <f>G121/Table2[[#This Row],[UnitsProduced]]</f>
        <v>93.6579476861167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A123-8D53-4579-AB2C-47591ADADA4A}">
  <dimension ref="A1:B10"/>
  <sheetViews>
    <sheetView zoomScale="94" zoomScaleNormal="130" workbookViewId="0">
      <selection activeCell="B1" sqref="B1"/>
    </sheetView>
  </sheetViews>
  <sheetFormatPr defaultRowHeight="14.4" x14ac:dyDescent="0.3"/>
  <cols>
    <col min="1" max="1" width="12.6640625" customWidth="1"/>
  </cols>
  <sheetData>
    <row r="1" spans="1:2" x14ac:dyDescent="0.3">
      <c r="A1" t="s">
        <v>20</v>
      </c>
      <c r="B1" t="e">
        <f>VLOOKUP(A1,'Production Dataset'!D1:H121,6,0)</f>
        <v>#REF!</v>
      </c>
    </row>
    <row r="2" spans="1:2" x14ac:dyDescent="0.3">
      <c r="A2" t="s">
        <v>24</v>
      </c>
      <c r="B2" t="e">
        <f>VLOOKUP(A2,'Production Dataset'!D2:H122,6,0)</f>
        <v>#REF!</v>
      </c>
    </row>
    <row r="3" spans="1:2" x14ac:dyDescent="0.3">
      <c r="A3" t="s">
        <v>13</v>
      </c>
      <c r="B3" t="e">
        <f>VLOOKUP(A3,'Production Dataset'!D3:H123,6,0)</f>
        <v>#REF!</v>
      </c>
    </row>
    <row r="4" spans="1:2" x14ac:dyDescent="0.3">
      <c r="A4" t="s">
        <v>25</v>
      </c>
      <c r="B4" t="e">
        <f>VLOOKUP(A4,'Production Dataset'!D4:H124,6,0)</f>
        <v>#REF!</v>
      </c>
    </row>
    <row r="5" spans="1:2" x14ac:dyDescent="0.3">
      <c r="A5" t="s">
        <v>21</v>
      </c>
      <c r="B5" t="e">
        <f>VLOOKUP(A5,'Production Dataset'!D5:H125,6,0)</f>
        <v>#REF!</v>
      </c>
    </row>
    <row r="6" spans="1:2" x14ac:dyDescent="0.3">
      <c r="A6" t="s">
        <v>19</v>
      </c>
      <c r="B6" t="e">
        <f>VLOOKUP(A6,'Production Dataset'!D6:H126,6,0)</f>
        <v>#REF!</v>
      </c>
    </row>
    <row r="7" spans="1:2" x14ac:dyDescent="0.3">
      <c r="A7" t="s">
        <v>9</v>
      </c>
      <c r="B7" t="e">
        <f>VLOOKUP(A7,'Production Dataset'!D7:H127,6,0)</f>
        <v>#REF!</v>
      </c>
    </row>
    <row r="8" spans="1:2" x14ac:dyDescent="0.3">
      <c r="A8" t="s">
        <v>22</v>
      </c>
      <c r="B8" t="e">
        <f>VLOOKUP(A8,'Production Dataset'!D8:H128,6,0)</f>
        <v>#REF!</v>
      </c>
    </row>
    <row r="9" spans="1:2" x14ac:dyDescent="0.3">
      <c r="A9" t="s">
        <v>26</v>
      </c>
      <c r="B9" t="e">
        <f>VLOOKUP(A9,'Production Dataset'!D9:H129,6,0)</f>
        <v>#REF!</v>
      </c>
    </row>
    <row r="10" spans="1:2" x14ac:dyDescent="0.3">
      <c r="A10" t="s">
        <v>16</v>
      </c>
      <c r="B10" t="e">
        <f>VLOOKUP(A10,'Production Dataset'!D10:H130,6,0)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 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Kandukuri Stephen Paul</cp:lastModifiedBy>
  <dcterms:created xsi:type="dcterms:W3CDTF">2015-06-05T18:17:20Z</dcterms:created>
  <dcterms:modified xsi:type="dcterms:W3CDTF">2026-08-21T10:51:40Z</dcterms:modified>
</cp:coreProperties>
</file>